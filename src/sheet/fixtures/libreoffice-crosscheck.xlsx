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F" sheetId="2" state="visible" r:id="rId4"/>
  </sheets>
  <definedNames>
    <definedName function="false" hidden="false" name="sales" vbProcedure="false">Data!$K$2:$K$7</definedName>
    <definedName function="false" hidden="false" name="vat" vbProcedure="false">0.2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<sst xmlns="http://schemas.openxmlformats.org/spreadsheetml/2006/main" count="341" uniqueCount="334">
  <si>
    <t xml:space="preserve">apple</t>
  </si>
  <si>
    <t xml:space="preserve">one</t>
  </si>
  <si>
    <t xml:space="preserve">Region</t>
  </si>
  <si>
    <t xml:space="preserve">Sales</t>
  </si>
  <si>
    <t xml:space="preserve">Year</t>
  </si>
  <si>
    <t xml:space="preserve">Banana</t>
  </si>
  <si>
    <t xml:space="preserve">2</t>
  </si>
  <si>
    <t xml:space="preserve">ten</t>
  </si>
  <si>
    <t xml:space="preserve">North</t>
  </si>
  <si>
    <t xml:space="preserve">cherry</t>
  </si>
  <si>
    <t xml:space="preserve">hundred</t>
  </si>
  <si>
    <t xml:space="preserve">South</t>
  </si>
  <si>
    <t xml:space="preserve">apple pie</t>
  </si>
  <si>
    <t xml:space="preserve">thousand</t>
  </si>
  <si>
    <t xml:space="preserve">ten thousand</t>
  </si>
  <si>
    <t xml:space="preserve">East</t>
  </si>
  <si>
    <t xml:space="preserve">Date</t>
  </si>
  <si>
    <t xml:space="preserve">x</t>
  </si>
  <si>
    <t xml:space="preserve">egg</t>
  </si>
  <si>
    <t xml:space="preserve">fig</t>
  </si>
  <si>
    <t xml:space="preserve">grape</t>
  </si>
  <si>
    <t xml:space="preserve">kiwi</t>
  </si>
  <si>
    <t xml:space="preserve">=-2^2</t>
  </si>
  <si>
    <t xml:space="preserve">=2^3^2</t>
  </si>
  <si>
    <t xml:space="preserve">=1+2*3-4/8</t>
  </si>
  <si>
    <t xml:space="preserve">=50%*10</t>
  </si>
  <si>
    <t xml:space="preserve">="3"+1</t>
  </si>
  <si>
    <t xml:space="preserve">=TRUE+TRUE</t>
  </si>
  <si>
    <t xml:space="preserve">="a"&amp;1.5&amp;TRUE</t>
  </si>
  <si>
    <t xml:space="preserve">=0.1+0.2=0.3</t>
  </si>
  <si>
    <t xml:space="preserve">=1/0</t>
  </si>
  <si>
    <t xml:space="preserve">="abc"*2</t>
  </si>
  <si>
    <t xml:space="preserve">="a"&lt;"B"</t>
  </si>
  <si>
    <t xml:space="preserve">=1&lt;"0"</t>
  </si>
  <si>
    <t xml:space="preserve">=Data!C4=0</t>
  </si>
  <si>
    <t xml:space="preserve">=Data!C4=""</t>
  </si>
  <si>
    <t xml:space="preserve">=2^0.5</t>
  </si>
  <si>
    <t xml:space="preserve">=-Data!A2</t>
  </si>
  <si>
    <t xml:space="preserve">=Data!A1:A3*2</t>
  </si>
  <si>
    <t xml:space="preserve">=(Data!A1+Data!A3)/2</t>
  </si>
  <si>
    <t xml:space="preserve">=SUM(Data!A1:A10)</t>
  </si>
  <si>
    <t xml:space="preserve">=SUM(Data!C1:C10)</t>
  </si>
  <si>
    <t xml:space="preserve">=SUM(1,"2",TRUE)</t>
  </si>
  <si>
    <t xml:space="preserve">=SUM(Data!A:A)</t>
  </si>
  <si>
    <t xml:space="preserve">=PRODUCT(Data!A1:A3)</t>
  </si>
  <si>
    <t xml:space="preserve">=SUMSQ(Data!A1:A3)</t>
  </si>
  <si>
    <t xml:space="preserve">=AVERAGE(Data!A1:A10)</t>
  </si>
  <si>
    <t xml:space="preserve">=AVERAGE(Data!C1:C10)</t>
  </si>
  <si>
    <t xml:space="preserve">=AVERAGEA(Data!C1:C10)</t>
  </si>
  <si>
    <t xml:space="preserve">=MIN(Data!A1:A10)</t>
  </si>
  <si>
    <t xml:space="preserve">=MAX(Data!A1:A10)</t>
  </si>
  <si>
    <t xml:space="preserve">=MINA(Data!C1:C10)</t>
  </si>
  <si>
    <t xml:space="preserve">=MAXA(Data!C1:C10)</t>
  </si>
  <si>
    <t xml:space="preserve">=COUNT(Data!C1:C10)</t>
  </si>
  <si>
    <t xml:space="preserve">=COUNTA(Data!C1:C10)</t>
  </si>
  <si>
    <t xml:space="preserve">=COUNTBLANK(Data!C1:C10)</t>
  </si>
  <si>
    <t xml:space="preserve">=COUNT(Data!B1:B10)</t>
  </si>
  <si>
    <t xml:space="preserve">=COUNTA(Data!B1:B10)</t>
  </si>
  <si>
    <t xml:space="preserve">=SUMIF(Data!A1:A10,"&gt;3")</t>
  </si>
  <si>
    <t xml:space="preserve">=SUMIF(Data!B1:B10,"apple*",Data!A1:A10)</t>
  </si>
  <si>
    <t xml:space="preserve">=SUMIF(Data!A1:A10,"&lt;&gt;4")</t>
  </si>
  <si>
    <t xml:space="preserve">=COUNTIF(Data!B1:B10,"?pple*")</t>
  </si>
  <si>
    <t xml:space="preserve">=COUNTIF(Data!A1:A10,4)</t>
  </si>
  <si>
    <t xml:space="preserve">=COUNTIF(Data!A1:A10,"4")</t>
  </si>
  <si>
    <t xml:space="preserve">=COUNTIF(Data!B1:B10,"&lt;c")</t>
  </si>
  <si>
    <t xml:space="preserve">=COUNTIF(Data!B1:B10,"")</t>
  </si>
  <si>
    <t xml:space="preserve">=COUNTIF(Data!B1:B10,"&lt;&gt;")</t>
  </si>
  <si>
    <t xml:space="preserve">=SUMIFS(Data!K2:K7,Data!J2:J7,"North",Data!L2:L7,"&gt;2021")</t>
  </si>
  <si>
    <t xml:space="preserve">=COUNTIFS(Data!J2:J7,"South",Data!K2:K7,"&gt;=90")</t>
  </si>
  <si>
    <t xml:space="preserve">=AVERAGEIF(Data!J2:J7,"North",Data!K2:K7)</t>
  </si>
  <si>
    <t xml:space="preserve">=AVERAGEIFS(Data!K2:K7,Data!L2:L7,2022)</t>
  </si>
  <si>
    <t xml:space="preserve">=MAXIFS(Data!K2:K7,Data!J2:J7,"South")</t>
  </si>
  <si>
    <t xml:space="preserve">=MINIFS(Data!K2:K7,Data!J2:J7,"North")</t>
  </si>
  <si>
    <t xml:space="preserve">=SUM(sales)*vat</t>
  </si>
  <si>
    <t xml:space="preserve">=SUMPRODUCT(Data!A1:A3,Data!E1:E3)</t>
  </si>
  <si>
    <t xml:space="preserve">=SUMPRODUCT((Data!J2:J7="North")*Data!K2:K7)</t>
  </si>
  <si>
    <t xml:space="preserve">=SUBTOTAL(9,Data!A1:A10)</t>
  </si>
  <si>
    <t xml:space="preserve">=SUBTOTAL(1,Data!A1:A10)</t>
  </si>
  <si>
    <t xml:space="preserve">=ROUND(2.5,0)</t>
  </si>
  <si>
    <t xml:space="preserve">=ROUND(-2.5,0)</t>
  </si>
  <si>
    <t xml:space="preserve">=ROUND(1.005,2)</t>
  </si>
  <si>
    <t xml:space="preserve">=ROUND(1234.5678,-2)</t>
  </si>
  <si>
    <t xml:space="preserve">=ROUNDUP(3.14159,3)</t>
  </si>
  <si>
    <t xml:space="preserve">=ROUNDUP(-3.14159,1)</t>
  </si>
  <si>
    <t xml:space="preserve">=ROUNDDOWN(3.14159,3)</t>
  </si>
  <si>
    <t xml:space="preserve">=ROUNDDOWN(-3.9,0)</t>
  </si>
  <si>
    <t xml:space="preserve">=MROUND(10,3)</t>
  </si>
  <si>
    <t xml:space="preserve">=MROUND(1.3,0.2)</t>
  </si>
  <si>
    <t xml:space="preserve">=MROUND(-10,-3)</t>
  </si>
  <si>
    <t xml:space="preserve">=CEILING(2.5,1)</t>
  </si>
  <si>
    <t xml:space="preserve">=CEILING(-2.5,2)</t>
  </si>
  <si>
    <t xml:space="preserve">=CEILING(-2.5,-2)</t>
  </si>
  <si>
    <t xml:space="preserve">=CEILING(0.234,0.01)</t>
  </si>
  <si>
    <t xml:space="preserve">=FLOOR(2.5,1)</t>
  </si>
  <si>
    <t xml:space="preserve">=FLOOR(-2.5,2)</t>
  </si>
  <si>
    <t xml:space="preserve">=FLOOR(-2.5,-2)</t>
  </si>
  <si>
    <t xml:space="preserve">=FLOOR(1.58,0.1)</t>
  </si>
  <si>
    <t xml:space="preserve">=CEILING.MATH(-5.5,2)</t>
  </si>
  <si>
    <t xml:space="preserve">=CEILING.MATH(-5.5,2,-1)</t>
  </si>
  <si>
    <t xml:space="preserve">=FLOOR.MATH(-5.5,2)</t>
  </si>
  <si>
    <t xml:space="preserve">=FLOOR.MATH(-5.5,2,-1)</t>
  </si>
  <si>
    <t xml:space="preserve">=CEILING.MATH(6.7)</t>
  </si>
  <si>
    <t xml:space="preserve">=INT(-1.5)</t>
  </si>
  <si>
    <t xml:space="preserve">=INT(8.9)</t>
  </si>
  <si>
    <t xml:space="preserve">=TRUNC(-8.9)</t>
  </si>
  <si>
    <t xml:space="preserve">=TRUNC(3.14159,2)</t>
  </si>
  <si>
    <t xml:space="preserve">=MOD(-3,2)</t>
  </si>
  <si>
    <t xml:space="preserve">=MOD(3,-2)</t>
  </si>
  <si>
    <t xml:space="preserve">=MOD(10.5,3)</t>
  </si>
  <si>
    <t xml:space="preserve">=MOD(0.3,0.1)</t>
  </si>
  <si>
    <t xml:space="preserve">=QUOTIENT(-10,3)</t>
  </si>
  <si>
    <t xml:space="preserve">=ABS(-4)</t>
  </si>
  <si>
    <t xml:space="preserve">=SIGN(-0.5)</t>
  </si>
  <si>
    <t xml:space="preserve">=SQRT(2)</t>
  </si>
  <si>
    <t xml:space="preserve">=SQRTPI(1)</t>
  </si>
  <si>
    <t xml:space="preserve">=POWER(2,10)</t>
  </si>
  <si>
    <t xml:space="preserve">=POWER(-8,1/3)</t>
  </si>
  <si>
    <t xml:space="preserve">=EXP(1)</t>
  </si>
  <si>
    <t xml:space="preserve">=LN(10)</t>
  </si>
  <si>
    <t xml:space="preserve">=LOG(1000)</t>
  </si>
  <si>
    <t xml:space="preserve">=LOG(8,2)</t>
  </si>
  <si>
    <t xml:space="preserve">=LOG10(0.01)</t>
  </si>
  <si>
    <t xml:space="preserve">=PI()</t>
  </si>
  <si>
    <t xml:space="preserve">=SIN(1)</t>
  </si>
  <si>
    <t xml:space="preserve">=COS(1)</t>
  </si>
  <si>
    <t xml:space="preserve">=TAN(1)</t>
  </si>
  <si>
    <t xml:space="preserve">=ASIN(0.5)</t>
  </si>
  <si>
    <t xml:space="preserve">=ACOS(-1)</t>
  </si>
  <si>
    <t xml:space="preserve">=ATAN(1)</t>
  </si>
  <si>
    <t xml:space="preserve">=ATAN2(1,2)</t>
  </si>
  <si>
    <t xml:space="preserve">=ATAN2(-1,-1)</t>
  </si>
  <si>
    <t xml:space="preserve">=SINH(1)</t>
  </si>
  <si>
    <t xml:space="preserve">=COSH(1)</t>
  </si>
  <si>
    <t xml:space="preserve">=TANH(0.5)</t>
  </si>
  <si>
    <t xml:space="preserve">=ASINH(1)</t>
  </si>
  <si>
    <t xml:space="preserve">=ACOSH(2)</t>
  </si>
  <si>
    <t xml:space="preserve">=ATANH(0.5)</t>
  </si>
  <si>
    <t xml:space="preserve">=DEGREES(1)</t>
  </si>
  <si>
    <t xml:space="preserve">=RADIANS(180)</t>
  </si>
  <si>
    <t xml:space="preserve">=FACT(10)</t>
  </si>
  <si>
    <t xml:space="preserve">=COMBIN(10,3)</t>
  </si>
  <si>
    <t xml:space="preserve">=PERMUT(10,3)</t>
  </si>
  <si>
    <t xml:space="preserve">=GCD(48,36,12)</t>
  </si>
  <si>
    <t xml:space="preserve">=LCM(4,6,10)</t>
  </si>
  <si>
    <t xml:space="preserve">=EVEN(3.2)</t>
  </si>
  <si>
    <t xml:space="preserve">=EVEN(-3.2)</t>
  </si>
  <si>
    <t xml:space="preserve">=ODD(3.2)</t>
  </si>
  <si>
    <t xml:space="preserve">=ODD(-4)</t>
  </si>
  <si>
    <t xml:space="preserve">=IF(Data!A1&gt;2,"big","small")</t>
  </si>
  <si>
    <t xml:space="preserve">=IF(Data!A2&gt;2,"big")</t>
  </si>
  <si>
    <t xml:space="preserve">=IFS(Data!A1&lt;0,"neg",Data!A1&lt;5,"small",TRUE,"big")</t>
  </si>
  <si>
    <t xml:space="preserve">=IFERROR(1/0,"div")</t>
  </si>
  <si>
    <t xml:space="preserve">=IFERROR(5,"x")</t>
  </si>
  <si>
    <t xml:space="preserve">=IFNA(NA(),"na")</t>
  </si>
  <si>
    <t xml:space="preserve">=AND(TRUE,1,Data!A1&gt;0)</t>
  </si>
  <si>
    <t xml:space="preserve">=AND(Data!B1:B3)</t>
  </si>
  <si>
    <t xml:space="preserve">=OR(FALSE,0)</t>
  </si>
  <si>
    <t xml:space="preserve">=XOR(TRUE,FALSE,TRUE)</t>
  </si>
  <si>
    <t xml:space="preserve">=NOT(Data!A4)</t>
  </si>
  <si>
    <t xml:space="preserve">=SWITCH(3,1,"a",3,"c","z")</t>
  </si>
  <si>
    <t xml:space="preserve">=CHOOSE(3,"a","b","c")</t>
  </si>
  <si>
    <t xml:space="preserve">=VLOOKUP(150,Data!E1:F5,2)</t>
  </si>
  <si>
    <t xml:space="preserve">=VLOOKUP(150,Data!E1:F5,2,FALSE)</t>
  </si>
  <si>
    <t xml:space="preserve">=VLOOKUP(1000,Data!E1:F5,2,FALSE)</t>
  </si>
  <si>
    <t xml:space="preserve">=VLOOKUP(0.5,Data!E1:F5,2)</t>
  </si>
  <si>
    <t xml:space="preserve">=VLOOKUP(99999,Data!E1:F5,2,TRUE)</t>
  </si>
  <si>
    <t xml:space="preserve">=HLOOKUP("Sales",Data!J1:L7,3,FALSE)</t>
  </si>
  <si>
    <t xml:space="preserve">=MATCH(100,Data!E1:E5,0)</t>
  </si>
  <si>
    <t xml:space="preserve">=MATCH(500,Data!E1:E5)</t>
  </si>
  <si>
    <t xml:space="preserve">=MATCH("ch*",Data!B1:B10,0)</t>
  </si>
  <si>
    <t xml:space="preserve">=MATCH("APPLE",Data!B1:B10,0)</t>
  </si>
  <si>
    <t xml:space="preserve">=INDEX(Data!E1:F5,3,2)</t>
  </si>
  <si>
    <t xml:space="preserve">=INDEX(Data!E1:E5,4)</t>
  </si>
  <si>
    <t xml:space="preserve">=INDEX(Data!G1:I3,2,0)</t>
  </si>
  <si>
    <t xml:space="preserve">=SUM(INDEX(Data!G1:I3,0,2))</t>
  </si>
  <si>
    <t xml:space="preserve">=INDEX(Data!F1:F5,MATCH(1000,Data!E1:E5,0))</t>
  </si>
  <si>
    <t xml:space="preserve">=XLOOKUP(10,Data!E1:E5,Data!F1:F5)</t>
  </si>
  <si>
    <t xml:space="preserve">=XLOOKUP(55,Data!E1:E5,Data!F1:F5,"none")</t>
  </si>
  <si>
    <t xml:space="preserve">=XLOOKUP(55,Data!E1:E5,Data!F1:F5,,-1)</t>
  </si>
  <si>
    <t xml:space="preserve">=XLOOKUP(55,Data!E1:E5,Data!F1:F5,,1)</t>
  </si>
  <si>
    <t xml:space="preserve">=XLOOKUP("North",Data!J2:J7,Data!K2:K7,,0,-1)</t>
  </si>
  <si>
    <t xml:space="preserve">=LOOKUP(500,Data!E1:E5,Data!F1:F5)</t>
  </si>
  <si>
    <t xml:space="preserve">=ROW(Data!C7)</t>
  </si>
  <si>
    <t xml:space="preserve">=COLUMN(Data!C7)</t>
  </si>
  <si>
    <t xml:space="preserve">=ROWS(Data!A1:C10)</t>
  </si>
  <si>
    <t xml:space="preserve">=COLUMNS(Data!A1:C10)</t>
  </si>
  <si>
    <t xml:space="preserve">=SUM(OFFSET(Data!A1,2,0,3,1))</t>
  </si>
  <si>
    <t xml:space="preserve">=INDIRECT("Data!A3")*2</t>
  </si>
  <si>
    <t xml:space="preserve">=LEFT(Data!B4,5)</t>
  </si>
  <si>
    <t xml:space="preserve">=RIGHT(Data!B4,3)</t>
  </si>
  <si>
    <t xml:space="preserve">=MID(Data!B4,3,4)</t>
  </si>
  <si>
    <t xml:space="preserve">=LEN(Data!B4)</t>
  </si>
  <si>
    <t xml:space="preserve">=FIND("p",Data!B4)</t>
  </si>
  <si>
    <t xml:space="preserve">=FIND("p",Data!B4,3)</t>
  </si>
  <si>
    <t xml:space="preserve">=SEARCH("P*E",Data!B4)</t>
  </si>
  <si>
    <t xml:space="preserve">=SEARCH("z",Data!B4)</t>
  </si>
  <si>
    <t xml:space="preserve">=SUBSTITUTE("aaa","a","b",2)</t>
  </si>
  <si>
    <t xml:space="preserve">=SUBSTITUTE("a-b-c","-","+")</t>
  </si>
  <si>
    <t xml:space="preserve">=REPLACE("abcdef",2,3,"XY")</t>
  </si>
  <si>
    <t xml:space="preserve">=UPPER(Data!B2)</t>
  </si>
  <si>
    <t xml:space="preserve">=LOWER(Data!B2)</t>
  </si>
  <si>
    <t xml:space="preserve">=PROPER("hello wORLD")</t>
  </si>
  <si>
    <t xml:space="preserve">=TRIM("  a   b  ")</t>
  </si>
  <si>
    <t xml:space="preserve">=CONCAT(Data!B1:B3)</t>
  </si>
  <si>
    <t xml:space="preserve">=CONCATENATE("x",1,"y")</t>
  </si>
  <si>
    <t xml:space="preserve">=TEXTJOIN(";",TRUE,Data!B4:B6)</t>
  </si>
  <si>
    <t xml:space="preserve">=TEXTJOIN(";",FALSE,Data!B4:B6)</t>
  </si>
  <si>
    <t xml:space="preserve">=REPT("-",5)</t>
  </si>
  <si>
    <t xml:space="preserve">=EXACT("A","a")</t>
  </si>
  <si>
    <t xml:space="preserve">=CHAR(65)</t>
  </si>
  <si>
    <t xml:space="preserve">=CODE("a")</t>
  </si>
  <si>
    <t xml:space="preserve">=VALUE("1,234.5")</t>
  </si>
  <si>
    <t xml:space="preserve">=VALUE("12%")</t>
  </si>
  <si>
    <t xml:space="preserve">=VALUE(" 3e2 ")</t>
  </si>
  <si>
    <t xml:space="preserve">=VALUE("2023-03-15")</t>
  </si>
  <si>
    <t xml:space="preserve">=T(1)</t>
  </si>
  <si>
    <t xml:space="preserve">=N(TRUE)</t>
  </si>
  <si>
    <t xml:space="preserve">=N("x")</t>
  </si>
  <si>
    <t xml:space="preserve">=FIXED(1234.567,1)</t>
  </si>
  <si>
    <t xml:space="preserve">=FIXED(1234.567,1,TRUE)</t>
  </si>
  <si>
    <t xml:space="preserve">=TEXT(1234.567,"#,##0.00")</t>
  </si>
  <si>
    <t xml:space="preserve">=TEXT(0.256,"0.0%")</t>
  </si>
  <si>
    <t xml:space="preserve">=TEXT(12345.678,"0.00E+00")</t>
  </si>
  <si>
    <t xml:space="preserve">=TEXT(-1234,"#,##0;(#,##0)")</t>
  </si>
  <si>
    <t xml:space="preserve">=TEXT(0,"0.0;-0.0;""zero""")</t>
  </si>
  <si>
    <t xml:space="preserve">=TEXT(5,"000")</t>
  </si>
  <si>
    <t xml:space="preserve">=TEXT(45000,"yyyy-mm-dd")</t>
  </si>
  <si>
    <t xml:space="preserve">=TEXT(45001.5,"dd.mm.yyyy hh:mm")</t>
  </si>
  <si>
    <t xml:space="preserve">=TEXT(45000,"dddd, mmmm d")</t>
  </si>
  <si>
    <t xml:space="preserve">=TEXT(0.75,"h:mm AM/PM")</t>
  </si>
  <si>
    <t xml:space="preserve">=TEXT(1.25,"[h]:mm")</t>
  </si>
  <si>
    <t xml:space="preserve">=TEXT(1234567,"#,##0,")</t>
  </si>
  <si>
    <t xml:space="preserve">=TEXT(3.5,"# ?/?")</t>
  </si>
  <si>
    <t xml:space="preserve">=TEXT(0.5,"0.00")</t>
  </si>
  <si>
    <t xml:space="preserve">=TEXT(-0.004,"0.00")</t>
  </si>
  <si>
    <t xml:space="preserve">=TEXT(123.456,"0")</t>
  </si>
  <si>
    <t xml:space="preserve">=TEXT(1.5,"#.##")</t>
  </si>
  <si>
    <t xml:space="preserve">=TEXT(2,"#.00")</t>
  </si>
  <si>
    <t xml:space="preserve">=ISNUMBER(Data!C1)</t>
  </si>
  <si>
    <t xml:space="preserve">=ISNUMBER(Data!C2)</t>
  </si>
  <si>
    <t xml:space="preserve">=ISTEXT(Data!C2)</t>
  </si>
  <si>
    <t xml:space="preserve">=ISBLANK(Data!C4)</t>
  </si>
  <si>
    <t xml:space="preserve">=ISBLANK(Data!B5)</t>
  </si>
  <si>
    <t xml:space="preserve">=ISLOGICAL(Data!C3)</t>
  </si>
  <si>
    <t xml:space="preserve">=ISERROR(1/0)</t>
  </si>
  <si>
    <t xml:space="preserve">=ISERR(NA())</t>
  </si>
  <si>
    <t xml:space="preserve">=ISNA(NA())</t>
  </si>
  <si>
    <t xml:space="preserve">=ISEVEN(4)</t>
  </si>
  <si>
    <t xml:space="preserve">=ISODD(-3)</t>
  </si>
  <si>
    <t xml:space="preserve">=ERROR.TYPE(1/0)</t>
  </si>
  <si>
    <t xml:space="preserve">=TYPE("a")</t>
  </si>
  <si>
    <t xml:space="preserve">=TYPE(Data!A1:A2)</t>
  </si>
  <si>
    <t xml:space="preserve">=DATE(2023,3,15)</t>
  </si>
  <si>
    <t xml:space="preserve">=DATE(2023,14,1)</t>
  </si>
  <si>
    <t xml:space="preserve">=DATE(2024,2,30)</t>
  </si>
  <si>
    <t xml:space="preserve">=DATE(100,1,1)</t>
  </si>
  <si>
    <t xml:space="preserve">=YEAR(Data!D1)</t>
  </si>
  <si>
    <t xml:space="preserve">=MONTH(Data!D1)</t>
  </si>
  <si>
    <t xml:space="preserve">=DAY(Data!D1)</t>
  </si>
  <si>
    <t xml:space="preserve">=YEAR(Data!D6)</t>
  </si>
  <si>
    <t xml:space="preserve">=MONTH(Data!D6)</t>
  </si>
  <si>
    <t xml:space="preserve">=DAY(Data!D6)</t>
  </si>
  <si>
    <t xml:space="preserve">=WEEKDAY(Data!D1)</t>
  </si>
  <si>
    <t xml:space="preserve">=WEEKDAY(Data!D1,2)</t>
  </si>
  <si>
    <t xml:space="preserve">=WEEKDAY(Data!D1,3)</t>
  </si>
  <si>
    <t xml:space="preserve">=WEEKDAY(Data!D5)</t>
  </si>
  <si>
    <t xml:space="preserve">=HOUR(Data!D2)</t>
  </si>
  <si>
    <t xml:space="preserve">=MINUTE(Data!D9)</t>
  </si>
  <si>
    <t xml:space="preserve">=SECOND(TIME(1,2,3))</t>
  </si>
  <si>
    <t xml:space="preserve">=TIME(25,0,0)</t>
  </si>
  <si>
    <t xml:space="preserve">=EDATE(Data!D3,1)</t>
  </si>
  <si>
    <t xml:space="preserve">=EOMONTH(Data!D1,0)</t>
  </si>
  <si>
    <t xml:space="preserve">=EOMONTH(Data!D1,-1)</t>
  </si>
  <si>
    <t xml:space="preserve">=DAYS(Data!D1,Data!D3)</t>
  </si>
  <si>
    <t xml:space="preserve">=DATEVALUE("2000-01-01")</t>
  </si>
  <si>
    <t xml:space="preserve">=TIMEVALUE("18:00")</t>
  </si>
  <si>
    <t xml:space="preserve">=DATEDIF(Data!D3,Data!D1,"M")</t>
  </si>
  <si>
    <t xml:space="preserve">=NETWORKDAYS(Data!D3,Data!D1)</t>
  </si>
  <si>
    <t xml:space="preserve">=WORKDAY(Data!D1,10)</t>
  </si>
  <si>
    <t xml:space="preserve">=YEAR(Data!D8)</t>
  </si>
  <si>
    <t xml:space="preserve">=MEDIAN(Data!A1:A10)</t>
  </si>
  <si>
    <t xml:space="preserve">=MODE(Data!A1:A10)</t>
  </si>
  <si>
    <t xml:space="preserve">=STDEV(Data!A1:A10)</t>
  </si>
  <si>
    <t xml:space="preserve">=STDEV.S(Data!A1:A10)</t>
  </si>
  <si>
    <t xml:space="preserve">=STDEV.P(Data!A1:A10)</t>
  </si>
  <si>
    <t xml:space="preserve">=STDEVP(Data!A1:A10)</t>
  </si>
  <si>
    <t xml:space="preserve">=VAR(Data!A1:A10)</t>
  </si>
  <si>
    <t xml:space="preserve">=VAR.P(Data!A1:A10)</t>
  </si>
  <si>
    <t xml:space="preserve">=LARGE(Data!A1:A10,2)</t>
  </si>
  <si>
    <t xml:space="preserve">=SMALL(Data!A1:A10,3)</t>
  </si>
  <si>
    <t xml:space="preserve">=RANK(4,Data!A1:A10)</t>
  </si>
  <si>
    <t xml:space="preserve">=RANK(4,Data!A1:A10,1)</t>
  </si>
  <si>
    <t xml:space="preserve">=RANK.AVG(4,Data!A1:A10)</t>
  </si>
  <si>
    <t xml:space="preserve">=PERCENTILE(Data!A1:A10,0.25)</t>
  </si>
  <si>
    <t xml:space="preserve">=PERCENTILE.INC(Data!A1:A10,0.9)</t>
  </si>
  <si>
    <t xml:space="preserve">=QUARTILE(Data!A1:A10,3)</t>
  </si>
  <si>
    <t xml:space="preserve">=CORREL(Data!A1:A5,Data!E1:E5)</t>
  </si>
  <si>
    <t xml:space="preserve">=SLOPE(Data!K2:K7,Data!L2:L7)</t>
  </si>
  <si>
    <t xml:space="preserve">=INTERCEPT(Data!K2:K7,Data!L2:L7)</t>
  </si>
  <si>
    <t xml:space="preserve">=RSQ(Data!K2:K7,Data!L2:L7)</t>
  </si>
  <si>
    <t xml:space="preserve">=STEYX(Data!K2:K7,Data!L2:L7)</t>
  </si>
  <si>
    <t xml:space="preserve">=FORECAST(2024,Data!K2:K7,Data!L2:L7)</t>
  </si>
  <si>
    <t xml:space="preserve">=GEOMEAN(Data!E1:E5)</t>
  </si>
  <si>
    <t xml:space="preserve">=HARMEAN(Data!E1:E5)</t>
  </si>
  <si>
    <t xml:space="preserve">=AVEDEV(Data!A1:A10)</t>
  </si>
  <si>
    <t xml:space="preserve">=DEVSQ(Data!A1:A10)</t>
  </si>
  <si>
    <t xml:space="preserve">=COVARIANCE.S(Data!A1:A5,Data!E1:E5)</t>
  </si>
  <si>
    <t xml:space="preserve">=NORM.DIST(1,0,1,TRUE)</t>
  </si>
  <si>
    <t xml:space="preserve">=NORM.DIST(1,0,1,FALSE)</t>
  </si>
  <si>
    <t xml:space="preserve">=NORM.S.INV(0.975)</t>
  </si>
  <si>
    <t xml:space="preserve">=NORM.INV(0.1,10,2)</t>
  </si>
  <si>
    <t xml:space="preserve">=NORMSDIST(-1.5)</t>
  </si>
  <si>
    <t xml:space="preserve">=MDETERM(Data!G1:I3)</t>
  </si>
  <si>
    <t xml:space="preserve">=SUM(MMULT(Data!G1:I3,Data!G1:I3))</t>
  </si>
  <si>
    <t xml:space="preserve">=INDEX(MINVERSE(Data!G1:I3),1,1)</t>
  </si>
  <si>
    <t xml:space="preserve">=INDEX(MMULT(Data!G1:I3,MINVERSE(Data!G1:I3)),2,2)</t>
  </si>
  <si>
    <t xml:space="preserve">=SUM(TRANSPOSE(Data!E1:E5))</t>
  </si>
  <si>
    <t xml:space="preserve">=INDEX(LINEST(Data!K2:K7,Data!L2:L7),1)</t>
  </si>
  <si>
    <t xml:space="preserve">=INDEX(LINEST(Data!K2:K7,Data!L2:L7),2)</t>
  </si>
  <si>
    <t xml:space="preserve">=INDEX(LINEST(Data!K2:K7,Data!L2:L7,TRUE,TRUE),3,1)</t>
  </si>
  <si>
    <t xml:space="preserve">=INDEX(LINEST(Data!K2:K7,Data!L2:L7,TRUE,TRUE),2,1)</t>
  </si>
  <si>
    <t xml:space="preserve">=INDEX(LINEST(Data!K2:K7,Data!L2:L7,TRUE,TRUE),4,1)</t>
  </si>
  <si>
    <t xml:space="preserve">=INDEX(LINEST(Data!A1:A5,Data!E1:G5),1,4)</t>
  </si>
  <si>
    <t xml:space="preserve">=INDEX(LINEST(Data!A1:A5,,FALSE),1,1)</t>
  </si>
  <si>
    <t xml:space="preserve">=SUM(SEQUENCE(4,1,2,3))</t>
  </si>
  <si>
    <t xml:space="preserve">=TEXT(2.375,"# ?/8")</t>
  </si>
  <si>
    <t xml:space="preserve">=TEXT(0.3333,"?/?")</t>
  </si>
  <si>
    <t xml:space="preserve">=TEXT(1.75,"?/?")</t>
  </si>
  <si>
    <t xml:space="preserve">=TEXT(3.14159,"# ??/??")</t>
  </si>
  <si>
    <t xml:space="preserve">=TEXT(-2.25,"# ?/?")</t>
  </si>
  <si>
    <t xml:space="preserve">=TEXT(5,"# ?/?")</t>
  </si>
  <si>
    <t xml:space="preserve">=COVARIANCE.P(Data!A1:A5,Data!E1:E5)</t>
  </si>
  <si>
    <t xml:space="preserve">=FORECAST.LINEAR(2024,Data!K2:K7,Data!L2:L7)</t>
  </si>
  <si>
    <t xml:space="preserve">=TEXT(-0.004,"0.00;-0.00")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</si>
</sst>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mm/dd/yy"/>
    <numFmt numFmtId="167" formatCode="hh:mm:ss\ AM/PM"/>
  </numFmts>
  <fonts count="4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v>3</v>
      </c>
      <c r="B1" s="0" t="s">
        <v>0</v>
      </c>
      <c r="C1" s="0" t="n">
        <v>1</v>
      </c>
      <c r="D1" s="0" t="n">
        <v>45000</v>
      </c>
      <c r="E1" s="0" t="n">
        <v>1</v>
      </c>
      <c r="F1" s="0" t="s">
        <v>1</v>
      </c>
      <c r="G1" s="0" t="n">
        <v>2</v>
      </c>
      <c r="H1" s="0" t="n">
        <v>1</v>
      </c>
      <c r="I1" s="0" t="n">
        <v>0</v>
      </c>
      <c r="J1" s="0" t="s">
        <v>2</v>
      </c>
      <c r="K1" s="0" t="s">
        <v>3</v>
      </c>
      <c r="L1" s="0" t="s">
        <v>4</v>
      </c>
    </row>
    <row r="2" customFormat="false" ht="15" hidden="false" customHeight="false" outlineLevel="0" collapsed="false">
      <c r="A2" s="0" t="n">
        <v>-1.5</v>
      </c>
      <c r="B2" s="0" t="s">
        <v>5</v>
      </c>
      <c r="C2" s="0" t="s">
        <v>6</v>
      </c>
      <c r="D2" s="0" t="n">
        <v>45001.5</v>
      </c>
      <c r="E2" s="0" t="n">
        <v>10</v>
      </c>
      <c r="F2" s="0" t="s">
        <v>7</v>
      </c>
      <c r="G2" s="0" t="n">
        <v>1</v>
      </c>
      <c r="H2" s="0" t="n">
        <v>3</v>
      </c>
      <c r="I2" s="0" t="n">
        <v>1</v>
      </c>
      <c r="J2" s="0" t="s">
        <v>8</v>
      </c>
      <c r="K2" s="0" t="n">
        <v>120</v>
      </c>
      <c r="L2" s="0" t="n">
        <v>2021</v>
      </c>
    </row>
    <row r="3" customFormat="false" ht="15" hidden="false" customHeight="false" outlineLevel="0" collapsed="false">
      <c r="A3" s="0" t="n">
        <v>7</v>
      </c>
      <c r="B3" s="0" t="s">
        <v>9</v>
      </c>
      <c r="C3" s="1" t="b">
        <f aca="false">TRUE()</f>
        <v>1</v>
      </c>
      <c r="D3" s="0" t="n">
        <v>44927</v>
      </c>
      <c r="E3" s="0" t="n">
        <v>100</v>
      </c>
      <c r="F3" s="0" t="s">
        <v>10</v>
      </c>
      <c r="G3" s="0" t="n">
        <v>0</v>
      </c>
      <c r="H3" s="0" t="n">
        <v>1</v>
      </c>
      <c r="I3" s="0" t="n">
        <v>4</v>
      </c>
      <c r="J3" s="0" t="s">
        <v>11</v>
      </c>
      <c r="K3" s="0" t="n">
        <v>80</v>
      </c>
      <c r="L3" s="0" t="n">
        <v>2021</v>
      </c>
    </row>
    <row r="4" customFormat="false" ht="15" hidden="false" customHeight="false" outlineLevel="0" collapsed="false">
      <c r="A4" s="0" t="n">
        <v>0</v>
      </c>
      <c r="B4" s="0" t="s">
        <v>12</v>
      </c>
      <c r="D4" s="0" t="n">
        <v>36526</v>
      </c>
      <c r="E4" s="0" t="n">
        <v>1000</v>
      </c>
      <c r="F4" s="0" t="s">
        <v>13</v>
      </c>
      <c r="J4" s="0" t="s">
        <v>8</v>
      </c>
      <c r="K4" s="0" t="n">
        <v>45</v>
      </c>
      <c r="L4" s="0" t="n">
        <v>2022</v>
      </c>
    </row>
    <row r="5" customFormat="false" ht="15" hidden="false" customHeight="false" outlineLevel="0" collapsed="false">
      <c r="A5" s="0" t="n">
        <v>12.25</v>
      </c>
      <c r="C5" s="0" t="n">
        <v>5</v>
      </c>
      <c r="D5" s="0" t="n">
        <v>1</v>
      </c>
      <c r="E5" s="0" t="n">
        <v>10000</v>
      </c>
      <c r="F5" s="0" t="s">
        <v>14</v>
      </c>
      <c r="J5" s="0" t="s">
        <v>15</v>
      </c>
      <c r="K5" s="0" t="n">
        <v>200</v>
      </c>
      <c r="L5" s="0" t="n">
        <v>2022</v>
      </c>
    </row>
    <row r="6" customFormat="false" ht="15" hidden="false" customHeight="false" outlineLevel="0" collapsed="false">
      <c r="A6" s="0" t="n">
        <v>4</v>
      </c>
      <c r="B6" s="0" t="s">
        <v>16</v>
      </c>
      <c r="C6" s="0" t="s">
        <v>17</v>
      </c>
      <c r="D6" s="0" t="n">
        <v>60</v>
      </c>
      <c r="J6" s="0" t="s">
        <v>11</v>
      </c>
      <c r="K6" s="0" t="n">
        <v>95</v>
      </c>
      <c r="L6" s="0" t="n">
        <v>2023</v>
      </c>
    </row>
    <row r="7" customFormat="false" ht="15" hidden="false" customHeight="false" outlineLevel="0" collapsed="false">
      <c r="A7" s="0" t="n">
        <v>4</v>
      </c>
      <c r="B7" s="0" t="s">
        <v>18</v>
      </c>
      <c r="C7" s="0" t="n">
        <v>7.5</v>
      </c>
      <c r="D7" s="0" t="n">
        <v>61</v>
      </c>
      <c r="J7" s="0" t="s">
        <v>8</v>
      </c>
      <c r="K7" s="0" t="n">
        <v>60</v>
      </c>
      <c r="L7" s="0" t="n">
        <v>2023</v>
      </c>
    </row>
    <row r="8" customFormat="false" ht="15" hidden="false" customHeight="false" outlineLevel="0" collapsed="false">
      <c r="A8" s="0" t="n">
        <v>9</v>
      </c>
      <c r="B8" s="0" t="s">
        <v>19</v>
      </c>
      <c r="C8" s="1" t="b">
        <f aca="false">FALSE()</f>
        <v>0</v>
      </c>
      <c r="D8" s="0" t="n">
        <v>2958465</v>
      </c>
    </row>
    <row r="9" customFormat="false" ht="15" hidden="false" customHeight="false" outlineLevel="0" collapsed="false">
      <c r="A9" s="0" t="n">
        <v>2.5</v>
      </c>
      <c r="B9" s="0" t="s">
        <v>20</v>
      </c>
      <c r="C9" s="0" t="n">
        <v>9</v>
      </c>
      <c r="D9" s="0" t="n">
        <v>40000.25</v>
      </c>
    </row>
    <row r="10" customFormat="false" ht="15" hidden="false" customHeight="false" outlineLevel="0" collapsed="false">
      <c r="A10" s="0" t="n">
        <v>100</v>
      </c>
      <c r="B10" s="0" t="s">
        <v>21</v>
      </c>
      <c r="C10" s="0" t="n">
        <v>-3</v>
      </c>
      <c r="D10" s="0" t="n">
        <v>0.75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f aca="false">-2^2</f>
        <v>4</v>
      </c>
      <c r="B1" s="0" t="s">
        <v>22</v>
      </c>
    </row>
    <row r="2" customFormat="false" ht="15" hidden="false" customHeight="false" outlineLevel="0" collapsed="false">
      <c r="A2" s="0" t="n">
        <f aca="false">2^3^2</f>
        <v>64</v>
      </c>
      <c r="B2" s="0" t="s">
        <v>23</v>
      </c>
    </row>
    <row r="3" customFormat="false" ht="15" hidden="false" customHeight="false" outlineLevel="0" collapsed="false">
      <c r="A3" s="0" t="n">
        <f aca="false">1+2*3-4/8</f>
        <v>6.5</v>
      </c>
      <c r="B3" s="0" t="s">
        <v>24</v>
      </c>
    </row>
    <row r="4" customFormat="false" ht="15" hidden="false" customHeight="false" outlineLevel="0" collapsed="false">
      <c r="A4" s="0" t="n">
        <f aca="false">50%*10</f>
        <v>5</v>
      </c>
      <c r="B4" s="0" t="s">
        <v>25</v>
      </c>
    </row>
    <row r="5" customFormat="false" ht="15" hidden="false" customHeight="false" outlineLevel="0" collapsed="false">
      <c r="A5" s="0" t="n">
        <f aca="false">"3"+1</f>
        <v>4</v>
      </c>
      <c r="B5" s="0" t="s">
        <v>26</v>
      </c>
    </row>
    <row r="6" customFormat="false" ht="15" hidden="false" customHeight="false" outlineLevel="0" collapsed="false">
      <c r="A6" s="0" t="n">
        <f aca="false">TRUE()+TRUE()</f>
        <v>2</v>
      </c>
      <c r="B6" s="0" t="s">
        <v>27</v>
      </c>
    </row>
    <row r="7" customFormat="false" ht="15" hidden="false" customHeight="false" outlineLevel="0" collapsed="false">
      <c r="A7" s="0" t="str">
        <f aca="false">"a"&amp;1.5&amp;TRUE()</f>
        <v>a1.51</v>
      </c>
      <c r="B7" s="0" t="s">
        <v>28</v>
      </c>
    </row>
    <row r="8" customFormat="false" ht="15" hidden="false" customHeight="false" outlineLevel="0" collapsed="false">
      <c r="A8" s="1" t="b">
        <f aca="false">0.1+0.2=0.3</f>
        <v>1</v>
      </c>
      <c r="B8" s="0" t="s">
        <v>29</v>
      </c>
    </row>
    <row r="9" customFormat="false" ht="15" hidden="false" customHeight="false" outlineLevel="0" collapsed="false">
      <c r="A9" s="0" t="e">
        <f aca="false">1/0</f>
        <v>#DIV/0!</v>
      </c>
      <c r="B9" s="0" t="s">
        <v>30</v>
      </c>
    </row>
    <row r="10" customFormat="false" ht="15" hidden="false" customHeight="false" outlineLevel="0" collapsed="false">
      <c r="A10" s="0" t="e">
        <f aca="false">"abc"*2</f>
        <v>#VALUE!</v>
      </c>
      <c r="B10" s="0" t="s">
        <v>31</v>
      </c>
    </row>
    <row r="11" customFormat="false" ht="15" hidden="false" customHeight="false" outlineLevel="0" collapsed="false">
      <c r="A11" s="1" t="b">
        <f aca="false">"a"&lt;"B"</f>
        <v>1</v>
      </c>
      <c r="B11" s="0" t="s">
        <v>32</v>
      </c>
    </row>
    <row r="12" customFormat="false" ht="15" hidden="false" customHeight="false" outlineLevel="0" collapsed="false">
      <c r="A12" s="1" t="b">
        <f aca="false">1&lt;"0"</f>
        <v>1</v>
      </c>
      <c r="B12" s="0" t="s">
        <v>33</v>
      </c>
    </row>
    <row r="13" customFormat="false" ht="15" hidden="false" customHeight="false" outlineLevel="0" collapsed="false">
      <c r="A13" s="1" t="b">
        <f aca="false">Data!C4=0</f>
        <v>1</v>
      </c>
      <c r="B13" s="0" t="s">
        <v>34</v>
      </c>
    </row>
    <row r="14" customFormat="false" ht="15" hidden="false" customHeight="false" outlineLevel="0" collapsed="false">
      <c r="A14" s="1" t="b">
        <f aca="false">Data!C4=""</f>
        <v>1</v>
      </c>
      <c r="B14" s="0" t="s">
        <v>35</v>
      </c>
    </row>
    <row r="15" customFormat="false" ht="15" hidden="false" customHeight="false" outlineLevel="0" collapsed="false">
      <c r="A15" s="0" t="n">
        <f aca="false">2^0.5</f>
        <v>1.4142135623731</v>
      </c>
      <c r="B15" s="0" t="s">
        <v>36</v>
      </c>
    </row>
    <row r="16" customFormat="false" ht="15" hidden="false" customHeight="false" outlineLevel="0" collapsed="false">
      <c r="A16" s="0" t="n">
        <f aca="false">-Data!A2</f>
        <v>1.5</v>
      </c>
      <c r="B16" s="0" t="s">
        <v>37</v>
      </c>
    </row>
    <row r="17" customFormat="false" ht="15" hidden="false" customHeight="false" outlineLevel="0" collapsed="false">
      <c r="A17" s="0" t="e">
        <f aca="false">Data!A1:A3*2</f>
        <v>#VALUE!</v>
      </c>
      <c r="B17" s="0" t="s">
        <v>38</v>
      </c>
    </row>
    <row r="18" customFormat="false" ht="15" hidden="false" customHeight="false" outlineLevel="0" collapsed="false">
      <c r="A18" s="0" t="n">
        <f aca="false">(Data!A1+Data!A3)/2</f>
        <v>5</v>
      </c>
      <c r="B18" s="0" t="s">
        <v>39</v>
      </c>
    </row>
    <row r="19" customFormat="false" ht="15" hidden="false" customHeight="false" outlineLevel="0" collapsed="false">
      <c r="A19" s="0" t="n">
        <f aca="false">SUM(Data!A1:A10)</f>
        <v>140.25</v>
      </c>
      <c r="B19" s="0" t="s">
        <v>40</v>
      </c>
    </row>
    <row r="20" customFormat="false" ht="15" hidden="false" customHeight="false" outlineLevel="0" collapsed="false">
      <c r="A20" s="0" t="n">
        <f aca="false">SUM(Data!C1:C10)</f>
        <v>20.5</v>
      </c>
      <c r="B20" s="0" t="s">
        <v>41</v>
      </c>
    </row>
    <row r="21" customFormat="false" ht="15" hidden="false" customHeight="false" outlineLevel="0" collapsed="false">
      <c r="A21" s="0" t="e">
        <f aca="false">SUM(1,"2",TRUE())</f>
        <v>#VALUE!</v>
      </c>
      <c r="B21" s="0" t="s">
        <v>42</v>
      </c>
    </row>
    <row r="22" customFormat="false" ht="15" hidden="false" customHeight="false" outlineLevel="0" collapsed="false">
      <c r="A22" s="0" t="n">
        <f aca="false">SUM(Data!A:A)</f>
        <v>140.25</v>
      </c>
      <c r="B22" s="0" t="s">
        <v>43</v>
      </c>
    </row>
    <row r="23" customFormat="false" ht="15" hidden="false" customHeight="false" outlineLevel="0" collapsed="false">
      <c r="A23" s="0" t="n">
        <f aca="false">PRODUCT(Data!A1:A3)</f>
        <v>-31.5</v>
      </c>
      <c r="B23" s="0" t="s">
        <v>44</v>
      </c>
    </row>
    <row r="24" customFormat="false" ht="15" hidden="false" customHeight="false" outlineLevel="0" collapsed="false">
      <c r="A24" s="0" t="n">
        <f aca="false">SUMSQ(Data!A1:A3)</f>
        <v>60.25</v>
      </c>
      <c r="B24" s="0" t="s">
        <v>45</v>
      </c>
    </row>
    <row r="25" customFormat="false" ht="15" hidden="false" customHeight="false" outlineLevel="0" collapsed="false">
      <c r="A25" s="0" t="n">
        <f aca="false">AVERAGE(Data!A1:A10)</f>
        <v>14.025</v>
      </c>
      <c r="B25" s="0" t="s">
        <v>46</v>
      </c>
    </row>
    <row r="26" customFormat="false" ht="15" hidden="false" customHeight="false" outlineLevel="0" collapsed="false">
      <c r="A26" s="0" t="n">
        <f aca="false">AVERAGE(Data!C1:C10)</f>
        <v>2.92857142857143</v>
      </c>
      <c r="B26" s="0" t="s">
        <v>47</v>
      </c>
    </row>
    <row r="27" customFormat="false" ht="15" hidden="false" customHeight="false" outlineLevel="0" collapsed="false">
      <c r="A27" s="0" t="n">
        <f aca="false">AVERAGEA(Data!C1:C10)</f>
        <v>2.27777777777778</v>
      </c>
      <c r="B27" s="0" t="s">
        <v>48</v>
      </c>
    </row>
    <row r="28" customFormat="false" ht="15" hidden="false" customHeight="false" outlineLevel="0" collapsed="false">
      <c r="A28" s="0" t="n">
        <f aca="false">MIN(Data!A1:A10)</f>
        <v>-1.5</v>
      </c>
      <c r="B28" s="0" t="s">
        <v>49</v>
      </c>
    </row>
    <row r="29" customFormat="false" ht="15" hidden="false" customHeight="false" outlineLevel="0" collapsed="false">
      <c r="A29" s="0" t="n">
        <f aca="false">MAX(Data!A1:A10)</f>
        <v>100</v>
      </c>
      <c r="B29" s="0" t="s">
        <v>50</v>
      </c>
    </row>
    <row r="30" customFormat="false" ht="15" hidden="false" customHeight="false" outlineLevel="0" collapsed="false">
      <c r="A30" s="0" t="n">
        <f aca="false">MINA(Data!C1:C10)</f>
        <v>-3</v>
      </c>
      <c r="B30" s="0" t="s">
        <v>51</v>
      </c>
    </row>
    <row r="31" customFormat="false" ht="15" hidden="false" customHeight="false" outlineLevel="0" collapsed="false">
      <c r="A31" s="0" t="n">
        <f aca="false">MAXA(Data!C1:C10)</f>
        <v>9</v>
      </c>
      <c r="B31" s="0" t="s">
        <v>52</v>
      </c>
    </row>
    <row r="32" customFormat="false" ht="15" hidden="false" customHeight="false" outlineLevel="0" collapsed="false">
      <c r="A32" s="0" t="n">
        <f aca="false">COUNT(Data!C1:C10)</f>
        <v>7</v>
      </c>
      <c r="B32" s="0" t="s">
        <v>53</v>
      </c>
    </row>
    <row r="33" customFormat="false" ht="15" hidden="false" customHeight="false" outlineLevel="0" collapsed="false">
      <c r="A33" s="0" t="n">
        <f aca="false">COUNTA(Data!C1:C10)</f>
        <v>9</v>
      </c>
      <c r="B33" s="0" t="s">
        <v>54</v>
      </c>
    </row>
    <row r="34" customFormat="false" ht="15" hidden="false" customHeight="false" outlineLevel="0" collapsed="false">
      <c r="A34" s="0" t="n">
        <f aca="false">COUNTBLANK(Data!C1:C10)</f>
        <v>1</v>
      </c>
      <c r="B34" s="0" t="s">
        <v>55</v>
      </c>
    </row>
    <row r="35" customFormat="false" ht="15" hidden="false" customHeight="false" outlineLevel="0" collapsed="false">
      <c r="A35" s="0" t="n">
        <f aca="false">COUNT(Data!B1:B10)</f>
        <v>0</v>
      </c>
      <c r="B35" s="0" t="s">
        <v>56</v>
      </c>
    </row>
    <row r="36" customFormat="false" ht="15" hidden="false" customHeight="false" outlineLevel="0" collapsed="false">
      <c r="A36" s="0" t="n">
        <f aca="false">COUNTA(Data!B1:B10)</f>
        <v>9</v>
      </c>
      <c r="B36" s="0" t="s">
        <v>57</v>
      </c>
    </row>
    <row r="37" customFormat="false" ht="15" hidden="false" customHeight="false" outlineLevel="0" collapsed="false">
      <c r="A37" s="0" t="n">
        <f aca="false">SUMIF(Data!A1:A10,"&gt;3")</f>
        <v>136.25</v>
      </c>
      <c r="B37" s="0" t="s">
        <v>58</v>
      </c>
    </row>
    <row r="38" customFormat="false" ht="15" hidden="false" customHeight="false" outlineLevel="0" collapsed="false">
      <c r="A38" s="0" t="n">
        <f aca="false">SUMIF(Data!B1:B10,"apple*",Data!A1:A10)</f>
        <v>3</v>
      </c>
      <c r="B38" s="0" t="s">
        <v>59</v>
      </c>
    </row>
    <row r="39" customFormat="false" ht="15" hidden="false" customHeight="false" outlineLevel="0" collapsed="false">
      <c r="A39" s="0" t="n">
        <f aca="false">SUMIF(Data!A1:A10,"&lt;&gt;4")</f>
        <v>132.25</v>
      </c>
      <c r="B39" s="0" t="s">
        <v>60</v>
      </c>
    </row>
    <row r="40" customFormat="false" ht="15" hidden="false" customHeight="false" outlineLevel="0" collapsed="false">
      <c r="A40" s="0" t="n">
        <f aca="false">COUNTIF(Data!B1:B10,"?pple*")</f>
        <v>2</v>
      </c>
      <c r="B40" s="0" t="s">
        <v>61</v>
      </c>
    </row>
    <row r="41" customFormat="false" ht="15" hidden="false" customHeight="false" outlineLevel="0" collapsed="false">
      <c r="A41" s="0" t="n">
        <f aca="false">COUNTIF(Data!A1:A10,4)</f>
        <v>2</v>
      </c>
      <c r="B41" s="0" t="s">
        <v>62</v>
      </c>
    </row>
    <row r="42" customFormat="false" ht="15" hidden="false" customHeight="false" outlineLevel="0" collapsed="false">
      <c r="A42" s="0" t="n">
        <f aca="false">COUNTIF(Data!A1:A10,"4")</f>
        <v>2</v>
      </c>
      <c r="B42" s="0" t="s">
        <v>63</v>
      </c>
    </row>
    <row r="43" customFormat="false" ht="15" hidden="false" customHeight="false" outlineLevel="0" collapsed="false">
      <c r="A43" s="0" t="n">
        <f aca="false">COUNTIF(Data!B1:B10,"&lt;c")</f>
        <v>3</v>
      </c>
      <c r="B43" s="0" t="s">
        <v>64</v>
      </c>
    </row>
    <row r="44" customFormat="false" ht="15" hidden="false" customHeight="false" outlineLevel="0" collapsed="false">
      <c r="A44" s="0" t="n">
        <f aca="false">COUNTIF(Data!B1:B10,"")</f>
        <v>1</v>
      </c>
      <c r="B44" s="0" t="s">
        <v>65</v>
      </c>
    </row>
    <row r="45" customFormat="false" ht="15" hidden="false" customHeight="false" outlineLevel="0" collapsed="false">
      <c r="A45" s="0" t="n">
        <f aca="false">COUNTIF(Data!B1:B10,"&lt;&gt;")</f>
        <v>9</v>
      </c>
      <c r="B45" s="0" t="s">
        <v>66</v>
      </c>
    </row>
    <row r="46" customFormat="false" ht="15" hidden="false" customHeight="false" outlineLevel="0" collapsed="false">
      <c r="A46" s="0" t="n">
        <f aca="false">SUMIFS(Data!K2:K7,Data!J2:J7,"North",Data!L2:L7,"&gt;2021")</f>
        <v>105</v>
      </c>
      <c r="B46" s="0" t="s">
        <v>67</v>
      </c>
    </row>
    <row r="47" customFormat="false" ht="15" hidden="false" customHeight="false" outlineLevel="0" collapsed="false">
      <c r="A47" s="0" t="n">
        <f aca="false">COUNTIFS(Data!J2:J7,"South",Data!K2:K7,"&gt;=90")</f>
        <v>1</v>
      </c>
      <c r="B47" s="0" t="s">
        <v>68</v>
      </c>
    </row>
    <row r="48" customFormat="false" ht="15" hidden="false" customHeight="false" outlineLevel="0" collapsed="false">
      <c r="A48" s="0" t="n">
        <f aca="false">AVERAGEIF(Data!J2:J7,"North",Data!K2:K7)</f>
        <v>75</v>
      </c>
      <c r="B48" s="0" t="s">
        <v>69</v>
      </c>
    </row>
    <row r="49" customFormat="false" ht="15" hidden="false" customHeight="false" outlineLevel="0" collapsed="false">
      <c r="A49" s="0" t="n">
        <f aca="false">AVERAGEIFS(Data!K2:K7,Data!L2:L7,2022)</f>
        <v>122.5</v>
      </c>
      <c r="B49" s="0" t="s">
        <v>70</v>
      </c>
    </row>
    <row r="50" customFormat="false" ht="15" hidden="false" customHeight="false" outlineLevel="0" collapsed="false">
      <c r="A50" s="0" t="n">
        <f aca="false">_xlfn.MAXIFS(Data!K2:K7,Data!J2:J7,"South")</f>
        <v>95</v>
      </c>
      <c r="B50" s="0" t="s">
        <v>71</v>
      </c>
    </row>
    <row r="51" customFormat="false" ht="15" hidden="false" customHeight="false" outlineLevel="0" collapsed="false">
      <c r="A51" s="0" t="n">
        <f aca="false">_xlfn.MINIFS(Data!K2:K7,Data!J2:J7,"North")</f>
        <v>45</v>
      </c>
      <c r="B51" s="0" t="s">
        <v>72</v>
      </c>
    </row>
    <row r="52" customFormat="false" ht="15" hidden="false" customHeight="false" outlineLevel="0" collapsed="false">
      <c r="A52" s="0" t="n">
        <f aca="false">SUM(sales)*vat</f>
        <v>120</v>
      </c>
      <c r="B52" s="0" t="s">
        <v>73</v>
      </c>
    </row>
    <row r="53" customFormat="false" ht="15" hidden="false" customHeight="false" outlineLevel="0" collapsed="false">
      <c r="A53" s="0" t="n">
        <f aca="false">SUMPRODUCT(Data!A1:A3,Data!E1:E3)</f>
        <v>688</v>
      </c>
      <c r="B53" s="0" t="s">
        <v>74</v>
      </c>
    </row>
    <row r="54" customFormat="false" ht="15" hidden="false" customHeight="false" outlineLevel="0" collapsed="false">
      <c r="A54" s="0" t="n">
        <f aca="false">SUMPRODUCT((Data!J2:J7="North")*Data!K2:K7)</f>
        <v>225</v>
      </c>
      <c r="B54" s="0" t="s">
        <v>75</v>
      </c>
    </row>
    <row r="55" customFormat="false" ht="15" hidden="false" customHeight="false" outlineLevel="0" collapsed="false">
      <c r="A55" s="0" t="n">
        <f aca="false">SUBTOTAL(9,Data!A1:A10)</f>
        <v>140.25</v>
      </c>
      <c r="B55" s="0" t="s">
        <v>76</v>
      </c>
    </row>
    <row r="56" customFormat="false" ht="15" hidden="false" customHeight="false" outlineLevel="0" collapsed="false">
      <c r="A56" s="0" t="n">
        <f aca="false">SUBTOTAL(1,Data!A1:A10)</f>
        <v>14.025</v>
      </c>
      <c r="B56" s="0" t="s">
        <v>77</v>
      </c>
    </row>
    <row r="57" customFormat="false" ht="15" hidden="false" customHeight="false" outlineLevel="0" collapsed="false">
      <c r="A57" s="0" t="n">
        <f aca="false">ROUND(2.5,0)</f>
        <v>3</v>
      </c>
      <c r="B57" s="0" t="s">
        <v>78</v>
      </c>
    </row>
    <row r="58" customFormat="false" ht="15" hidden="false" customHeight="false" outlineLevel="0" collapsed="false">
      <c r="A58" s="0" t="n">
        <f aca="false">ROUND(-2.5,0)</f>
        <v>-3</v>
      </c>
      <c r="B58" s="0" t="s">
        <v>79</v>
      </c>
    </row>
    <row r="59" customFormat="false" ht="15" hidden="false" customHeight="false" outlineLevel="0" collapsed="false">
      <c r="A59" s="0" t="n">
        <f aca="false">ROUND(1.005,2)</f>
        <v>1.01</v>
      </c>
      <c r="B59" s="0" t="s">
        <v>80</v>
      </c>
    </row>
    <row r="60" customFormat="false" ht="15" hidden="false" customHeight="false" outlineLevel="0" collapsed="false">
      <c r="A60" s="0" t="n">
        <f aca="false">ROUND(1234.5678,-2)</f>
        <v>1200</v>
      </c>
      <c r="B60" s="0" t="s">
        <v>81</v>
      </c>
    </row>
    <row r="61" customFormat="false" ht="15" hidden="false" customHeight="false" outlineLevel="0" collapsed="false">
      <c r="A61" s="0" t="n">
        <f aca="false">ROUNDUP(3.14159,3)</f>
        <v>3.142</v>
      </c>
      <c r="B61" s="0" t="s">
        <v>82</v>
      </c>
    </row>
    <row r="62" customFormat="false" ht="15" hidden="false" customHeight="false" outlineLevel="0" collapsed="false">
      <c r="A62" s="0" t="n">
        <f aca="false">ROUNDUP(-3.14159,1)</f>
        <v>-3.2</v>
      </c>
      <c r="B62" s="0" t="s">
        <v>83</v>
      </c>
    </row>
    <row r="63" customFormat="false" ht="15" hidden="false" customHeight="false" outlineLevel="0" collapsed="false">
      <c r="A63" s="0" t="n">
        <f aca="false">ROUNDDOWN(3.14159,3)</f>
        <v>3.141</v>
      </c>
      <c r="B63" s="0" t="s">
        <v>84</v>
      </c>
    </row>
    <row r="64" customFormat="false" ht="15" hidden="false" customHeight="false" outlineLevel="0" collapsed="false">
      <c r="A64" s="0" t="n">
        <f aca="false">ROUNDDOWN(-3.9,0)</f>
        <v>-3</v>
      </c>
      <c r="B64" s="0" t="s">
        <v>85</v>
      </c>
    </row>
    <row r="65" customFormat="false" ht="15" hidden="false" customHeight="false" outlineLevel="0" collapsed="false">
      <c r="A65" s="0" t="n">
        <f aca="false">MROUND(10,3)</f>
        <v>9</v>
      </c>
      <c r="B65" s="0" t="s">
        <v>86</v>
      </c>
    </row>
    <row r="66" customFormat="false" ht="15" hidden="false" customHeight="false" outlineLevel="0" collapsed="false">
      <c r="A66" s="0" t="n">
        <f aca="false">MROUND(1.3,0.2)</f>
        <v>1.4</v>
      </c>
      <c r="B66" s="0" t="s">
        <v>87</v>
      </c>
    </row>
    <row r="67" customFormat="false" ht="15" hidden="false" customHeight="false" outlineLevel="0" collapsed="false">
      <c r="A67" s="0" t="n">
        <f aca="false">MROUND(-10,-3)</f>
        <v>-9</v>
      </c>
      <c r="B67" s="0" t="s">
        <v>88</v>
      </c>
    </row>
    <row r="68" customFormat="false" ht="15" hidden="false" customHeight="false" outlineLevel="0" collapsed="false">
      <c r="A68" s="0" t="n">
        <f aca="false">CEILING(2.5,1)</f>
        <v>3</v>
      </c>
      <c r="B68" s="0" t="s">
        <v>89</v>
      </c>
    </row>
    <row r="69" customFormat="false" ht="15" hidden="false" customHeight="false" outlineLevel="0" collapsed="false">
      <c r="A69" s="0" t="n">
        <f aca="false">CEILING(-2.5,2)</f>
        <v>-2</v>
      </c>
      <c r="B69" s="0" t="s">
        <v>90</v>
      </c>
    </row>
    <row r="70" customFormat="false" ht="15" hidden="false" customHeight="false" outlineLevel="0" collapsed="false">
      <c r="A70" s="0" t="n">
        <f aca="false">CEILING(-2.5,-2)</f>
        <v>-4</v>
      </c>
      <c r="B70" s="0" t="s">
        <v>91</v>
      </c>
    </row>
    <row r="71" customFormat="false" ht="15" hidden="false" customHeight="false" outlineLevel="0" collapsed="false">
      <c r="A71" s="0" t="n">
        <f aca="false">CEILING(0.234,0.01)</f>
        <v>0.24</v>
      </c>
      <c r="B71" s="0" t="s">
        <v>92</v>
      </c>
    </row>
    <row r="72" customFormat="false" ht="15" hidden="false" customHeight="false" outlineLevel="0" collapsed="false">
      <c r="A72" s="0" t="n">
        <f aca="false">FLOOR(2.5,1)</f>
        <v>2</v>
      </c>
      <c r="B72" s="0" t="s">
        <v>93</v>
      </c>
    </row>
    <row r="73" customFormat="false" ht="15" hidden="false" customHeight="false" outlineLevel="0" collapsed="false">
      <c r="A73" s="0" t="n">
        <f aca="false">FLOOR(-2.5,2)</f>
        <v>-4</v>
      </c>
      <c r="B73" s="0" t="s">
        <v>94</v>
      </c>
    </row>
    <row r="74" customFormat="false" ht="15" hidden="false" customHeight="false" outlineLevel="0" collapsed="false">
      <c r="A74" s="0" t="n">
        <f aca="false">FLOOR(-2.5,-2)</f>
        <v>-2</v>
      </c>
      <c r="B74" s="0" t="s">
        <v>95</v>
      </c>
    </row>
    <row r="75" customFormat="false" ht="15" hidden="false" customHeight="false" outlineLevel="0" collapsed="false">
      <c r="A75" s="0" t="n">
        <f aca="false">FLOOR(1.58,0.1)</f>
        <v>1.5</v>
      </c>
      <c r="B75" s="0" t="s">
        <v>96</v>
      </c>
    </row>
    <row r="76" customFormat="false" ht="15" hidden="false" customHeight="false" outlineLevel="0" collapsed="false">
      <c r="A76" s="0" t="n">
        <f aca="false">_xlfn.CEILING.MATH(-5.5,2)</f>
        <v>-4</v>
      </c>
      <c r="B76" s="0" t="s">
        <v>97</v>
      </c>
    </row>
    <row r="77" customFormat="false" ht="15" hidden="false" customHeight="false" outlineLevel="0" collapsed="false">
      <c r="A77" s="0" t="n">
        <f aca="false">_xlfn.CEILING.MATH(-5.5,2,-1)</f>
        <v>-6</v>
      </c>
      <c r="B77" s="0" t="s">
        <v>98</v>
      </c>
    </row>
    <row r="78" customFormat="false" ht="15" hidden="false" customHeight="false" outlineLevel="0" collapsed="false">
      <c r="A78" s="0" t="n">
        <f aca="false">_xlfn.FLOOR.MATH(-5.5,2)</f>
        <v>-6</v>
      </c>
      <c r="B78" s="0" t="s">
        <v>99</v>
      </c>
    </row>
    <row r="79" customFormat="false" ht="15" hidden="false" customHeight="false" outlineLevel="0" collapsed="false">
      <c r="A79" s="0" t="n">
        <f aca="false">_xlfn.FLOOR.MATH(-5.5,2,-1)</f>
        <v>-4</v>
      </c>
      <c r="B79" s="0" t="s">
        <v>100</v>
      </c>
    </row>
    <row r="80" customFormat="false" ht="15" hidden="false" customHeight="false" outlineLevel="0" collapsed="false">
      <c r="A80" s="0" t="n">
        <f aca="false">_xlfn.CEILING.MATH(6.7)</f>
        <v>7</v>
      </c>
      <c r="B80" s="0" t="s">
        <v>101</v>
      </c>
    </row>
    <row r="81" customFormat="false" ht="15" hidden="false" customHeight="false" outlineLevel="0" collapsed="false">
      <c r="A81" s="0" t="n">
        <f aca="false">INT(-1.5)</f>
        <v>-2</v>
      </c>
      <c r="B81" s="0" t="s">
        <v>102</v>
      </c>
    </row>
    <row r="82" customFormat="false" ht="15" hidden="false" customHeight="false" outlineLevel="0" collapsed="false">
      <c r="A82" s="0" t="n">
        <f aca="false">INT(8.9)</f>
        <v>8</v>
      </c>
      <c r="B82" s="0" t="s">
        <v>103</v>
      </c>
    </row>
    <row r="83" customFormat="false" ht="15" hidden="false" customHeight="false" outlineLevel="0" collapsed="false">
      <c r="A83" s="0" t="n">
        <f aca="false">TRUNC(-8.9)</f>
        <v>-8</v>
      </c>
      <c r="B83" s="0" t="s">
        <v>104</v>
      </c>
    </row>
    <row r="84" customFormat="false" ht="15" hidden="false" customHeight="false" outlineLevel="0" collapsed="false">
      <c r="A84" s="0" t="n">
        <f aca="false">TRUNC(3.14159,2)</f>
        <v>3.14</v>
      </c>
      <c r="B84" s="0" t="s">
        <v>105</v>
      </c>
    </row>
    <row r="85" customFormat="false" ht="15" hidden="false" customHeight="false" outlineLevel="0" collapsed="false">
      <c r="A85" s="0" t="n">
        <f aca="false">MOD(-3,2)</f>
        <v>1</v>
      </c>
      <c r="B85" s="0" t="s">
        <v>106</v>
      </c>
    </row>
    <row r="86" customFormat="false" ht="15" hidden="false" customHeight="false" outlineLevel="0" collapsed="false">
      <c r="A86" s="0" t="n">
        <f aca="false">MOD(3,-2)</f>
        <v>-1</v>
      </c>
      <c r="B86" s="0" t="s">
        <v>107</v>
      </c>
    </row>
    <row r="87" customFormat="false" ht="15" hidden="false" customHeight="false" outlineLevel="0" collapsed="false">
      <c r="A87" s="0" t="n">
        <f aca="false">MOD(10.5,3)</f>
        <v>1.5</v>
      </c>
      <c r="B87" s="0" t="s">
        <v>108</v>
      </c>
    </row>
    <row r="88" customFormat="false" ht="15" hidden="false" customHeight="false" outlineLevel="0" collapsed="false">
      <c r="A88" s="0" t="n">
        <f aca="false">MOD(0.3,0.1)</f>
        <v>0</v>
      </c>
      <c r="B88" s="0" t="s">
        <v>109</v>
      </c>
    </row>
    <row r="89" customFormat="false" ht="15" hidden="false" customHeight="false" outlineLevel="0" collapsed="false">
      <c r="A89" s="0" t="n">
        <f aca="false">QUOTIENT(-10,3)</f>
        <v>-3</v>
      </c>
      <c r="B89" s="0" t="s">
        <v>110</v>
      </c>
    </row>
    <row r="90" customFormat="false" ht="15" hidden="false" customHeight="false" outlineLevel="0" collapsed="false">
      <c r="A90" s="0" t="n">
        <f aca="false">ABS(-4)</f>
        <v>4</v>
      </c>
      <c r="B90" s="0" t="s">
        <v>111</v>
      </c>
    </row>
    <row r="91" customFormat="false" ht="15" hidden="false" customHeight="false" outlineLevel="0" collapsed="false">
      <c r="A91" s="0" t="n">
        <f aca="false">SIGN(-0.5)</f>
        <v>-1</v>
      </c>
      <c r="B91" s="0" t="s">
        <v>112</v>
      </c>
    </row>
    <row r="92" customFormat="false" ht="15" hidden="false" customHeight="false" outlineLevel="0" collapsed="false">
      <c r="A92" s="0" t="n">
        <f aca="false">SQRT(2)</f>
        <v>1.4142135623731</v>
      </c>
      <c r="B92" s="0" t="s">
        <v>113</v>
      </c>
    </row>
    <row r="93" customFormat="false" ht="15" hidden="false" customHeight="false" outlineLevel="0" collapsed="false">
      <c r="A93" s="0" t="n">
        <f aca="false">SQRTPI(1)</f>
        <v>1.77245385090552</v>
      </c>
      <c r="B93" s="0" t="s">
        <v>114</v>
      </c>
    </row>
    <row r="94" customFormat="false" ht="15" hidden="false" customHeight="false" outlineLevel="0" collapsed="false">
      <c r="A94" s="0" t="n">
        <f aca="false">POWER(2,10)</f>
        <v>1024</v>
      </c>
      <c r="B94" s="0" t="s">
        <v>115</v>
      </c>
    </row>
    <row r="95" customFormat="false" ht="15" hidden="false" customHeight="false" outlineLevel="0" collapsed="false">
      <c r="A95" s="0" t="n">
        <f aca="false">POWER(-8,1/3)</f>
        <v>-2</v>
      </c>
      <c r="B95" s="0" t="s">
        <v>116</v>
      </c>
    </row>
    <row r="96" customFormat="false" ht="15" hidden="false" customHeight="false" outlineLevel="0" collapsed="false">
      <c r="A96" s="0" t="n">
        <f aca="false">EXP(1)</f>
        <v>2.71828182845905</v>
      </c>
      <c r="B96" s="0" t="s">
        <v>117</v>
      </c>
    </row>
    <row r="97" customFormat="false" ht="15" hidden="false" customHeight="false" outlineLevel="0" collapsed="false">
      <c r="A97" s="0" t="n">
        <f aca="false">LN(10)</f>
        <v>2.30258509299405</v>
      </c>
      <c r="B97" s="0" t="s">
        <v>118</v>
      </c>
    </row>
    <row r="98" customFormat="false" ht="15" hidden="false" customHeight="false" outlineLevel="0" collapsed="false">
      <c r="A98" s="0" t="n">
        <f aca="false">LOG(1000)</f>
        <v>3</v>
      </c>
      <c r="B98" s="0" t="s">
        <v>119</v>
      </c>
    </row>
    <row r="99" customFormat="false" ht="15" hidden="false" customHeight="false" outlineLevel="0" collapsed="false">
      <c r="A99" s="0" t="n">
        <f aca="false">LOG(8,2)</f>
        <v>3</v>
      </c>
      <c r="B99" s="0" t="s">
        <v>120</v>
      </c>
    </row>
    <row r="100" customFormat="false" ht="15" hidden="false" customHeight="false" outlineLevel="0" collapsed="false">
      <c r="A100" s="0" t="n">
        <f aca="false">LOG10(0.01)</f>
        <v>-2</v>
      </c>
      <c r="B100" s="0" t="s">
        <v>121</v>
      </c>
    </row>
    <row r="101" customFormat="false" ht="15" hidden="false" customHeight="false" outlineLevel="0" collapsed="false">
      <c r="A101" s="0" t="n">
        <f aca="false">PI()</f>
        <v>3.14159265358979</v>
      </c>
      <c r="B101" s="0" t="s">
        <v>122</v>
      </c>
    </row>
    <row r="102" customFormat="false" ht="15" hidden="false" customHeight="false" outlineLevel="0" collapsed="false">
      <c r="A102" s="0" t="n">
        <f aca="false">SIN(1)</f>
        <v>0.841470984807897</v>
      </c>
      <c r="B102" s="0" t="s">
        <v>123</v>
      </c>
    </row>
    <row r="103" customFormat="false" ht="15" hidden="false" customHeight="false" outlineLevel="0" collapsed="false">
      <c r="A103" s="0" t="n">
        <f aca="false">COS(1)</f>
        <v>0.54030230586814</v>
      </c>
      <c r="B103" s="0" t="s">
        <v>124</v>
      </c>
    </row>
    <row r="104" customFormat="false" ht="15" hidden="false" customHeight="false" outlineLevel="0" collapsed="false">
      <c r="A104" s="0" t="n">
        <f aca="false">TAN(1)</f>
        <v>1.5574077246549</v>
      </c>
      <c r="B104" s="0" t="s">
        <v>125</v>
      </c>
    </row>
    <row r="105" customFormat="false" ht="15" hidden="false" customHeight="false" outlineLevel="0" collapsed="false">
      <c r="A105" s="0" t="n">
        <f aca="false">ASIN(0.5)</f>
        <v>0.523598775598299</v>
      </c>
      <c r="B105" s="0" t="s">
        <v>126</v>
      </c>
    </row>
    <row r="106" customFormat="false" ht="15" hidden="false" customHeight="false" outlineLevel="0" collapsed="false">
      <c r="A106" s="0" t="n">
        <f aca="false">ACOS(-1)</f>
        <v>3.14159265358979</v>
      </c>
      <c r="B106" s="0" t="s">
        <v>127</v>
      </c>
    </row>
    <row r="107" customFormat="false" ht="15" hidden="false" customHeight="false" outlineLevel="0" collapsed="false">
      <c r="A107" s="0" t="n">
        <f aca="false">ATAN(1)</f>
        <v>0.785398163397448</v>
      </c>
      <c r="B107" s="0" t="s">
        <v>128</v>
      </c>
    </row>
    <row r="108" customFormat="false" ht="15" hidden="false" customHeight="false" outlineLevel="0" collapsed="false">
      <c r="A108" s="0" t="n">
        <f aca="false">ATAN2(1,2)</f>
        <v>1.10714871779409</v>
      </c>
      <c r="B108" s="0" t="s">
        <v>129</v>
      </c>
    </row>
    <row r="109" customFormat="false" ht="15" hidden="false" customHeight="false" outlineLevel="0" collapsed="false">
      <c r="A109" s="0" t="n">
        <f aca="false">ATAN2(-1,-1)</f>
        <v>-2.35619449019235</v>
      </c>
      <c r="B109" s="0" t="s">
        <v>130</v>
      </c>
    </row>
    <row r="110" customFormat="false" ht="15" hidden="false" customHeight="false" outlineLevel="0" collapsed="false">
      <c r="A110" s="0" t="n">
        <f aca="false">SINH(1)</f>
        <v>1.1752011936438</v>
      </c>
      <c r="B110" s="0" t="s">
        <v>131</v>
      </c>
    </row>
    <row r="111" customFormat="false" ht="15" hidden="false" customHeight="false" outlineLevel="0" collapsed="false">
      <c r="A111" s="0" t="n">
        <f aca="false">COSH(1)</f>
        <v>1.54308063481524</v>
      </c>
      <c r="B111" s="0" t="s">
        <v>132</v>
      </c>
    </row>
    <row r="112" customFormat="false" ht="15" hidden="false" customHeight="false" outlineLevel="0" collapsed="false">
      <c r="A112" s="0" t="n">
        <f aca="false">TANH(0.5)</f>
        <v>0.46211715726001</v>
      </c>
      <c r="B112" s="0" t="s">
        <v>133</v>
      </c>
    </row>
    <row r="113" customFormat="false" ht="15" hidden="false" customHeight="false" outlineLevel="0" collapsed="false">
      <c r="A113" s="0" t="n">
        <f aca="false">ASINH(1)</f>
        <v>0.881373587019543</v>
      </c>
      <c r="B113" s="0" t="s">
        <v>134</v>
      </c>
    </row>
    <row r="114" customFormat="false" ht="15" hidden="false" customHeight="false" outlineLevel="0" collapsed="false">
      <c r="A114" s="0" t="n">
        <f aca="false">ACOSH(2)</f>
        <v>1.31695789692482</v>
      </c>
      <c r="B114" s="0" t="s">
        <v>135</v>
      </c>
    </row>
    <row r="115" customFormat="false" ht="15" hidden="false" customHeight="false" outlineLevel="0" collapsed="false">
      <c r="A115" s="0" t="n">
        <f aca="false">ATANH(0.5)</f>
        <v>0.549306144334055</v>
      </c>
      <c r="B115" s="0" t="s">
        <v>136</v>
      </c>
    </row>
    <row r="116" customFormat="false" ht="15" hidden="false" customHeight="false" outlineLevel="0" collapsed="false">
      <c r="A116" s="0" t="n">
        <f aca="false">DEGREES(1)</f>
        <v>57.2957795130823</v>
      </c>
      <c r="B116" s="0" t="s">
        <v>137</v>
      </c>
    </row>
    <row r="117" customFormat="false" ht="15" hidden="false" customHeight="false" outlineLevel="0" collapsed="false">
      <c r="A117" s="0" t="n">
        <f aca="false">RADIANS(180)</f>
        <v>3.14159265358979</v>
      </c>
      <c r="B117" s="0" t="s">
        <v>138</v>
      </c>
    </row>
    <row r="118" customFormat="false" ht="15" hidden="false" customHeight="false" outlineLevel="0" collapsed="false">
      <c r="A118" s="0" t="n">
        <f aca="false">FACT(10)</f>
        <v>3628800</v>
      </c>
      <c r="B118" s="0" t="s">
        <v>139</v>
      </c>
    </row>
    <row r="119" customFormat="false" ht="15" hidden="false" customHeight="false" outlineLevel="0" collapsed="false">
      <c r="A119" s="0" t="n">
        <f aca="false">COMBIN(10,3)</f>
        <v>120</v>
      </c>
      <c r="B119" s="0" t="s">
        <v>140</v>
      </c>
    </row>
    <row r="120" customFormat="false" ht="15" hidden="false" customHeight="false" outlineLevel="0" collapsed="false">
      <c r="A120" s="0" t="n">
        <f aca="false">PERMUT(10,3)</f>
        <v>720</v>
      </c>
      <c r="B120" s="0" t="s">
        <v>141</v>
      </c>
    </row>
    <row r="121" customFormat="false" ht="15" hidden="false" customHeight="false" outlineLevel="0" collapsed="false">
      <c r="A121" s="0" t="n">
        <f aca="false">GCD(48,36,12)</f>
        <v>12</v>
      </c>
      <c r="B121" s="0" t="s">
        <v>142</v>
      </c>
    </row>
    <row r="122" customFormat="false" ht="15" hidden="false" customHeight="false" outlineLevel="0" collapsed="false">
      <c r="A122" s="0" t="n">
        <f aca="false">LCM(4,6,10)</f>
        <v>60</v>
      </c>
      <c r="B122" s="0" t="s">
        <v>143</v>
      </c>
    </row>
    <row r="123" customFormat="false" ht="15" hidden="false" customHeight="false" outlineLevel="0" collapsed="false">
      <c r="A123" s="0" t="n">
        <f aca="false">EVEN(3.2)</f>
        <v>4</v>
      </c>
      <c r="B123" s="0" t="s">
        <v>144</v>
      </c>
    </row>
    <row r="124" customFormat="false" ht="15" hidden="false" customHeight="false" outlineLevel="0" collapsed="false">
      <c r="A124" s="0" t="n">
        <f aca="false">EVEN(-3.2)</f>
        <v>-4</v>
      </c>
      <c r="B124" s="0" t="s">
        <v>145</v>
      </c>
    </row>
    <row r="125" customFormat="false" ht="15" hidden="false" customHeight="false" outlineLevel="0" collapsed="false">
      <c r="A125" s="0" t="n">
        <f aca="false">ODD(3.2)</f>
        <v>5</v>
      </c>
      <c r="B125" s="0" t="s">
        <v>146</v>
      </c>
    </row>
    <row r="126" customFormat="false" ht="15" hidden="false" customHeight="false" outlineLevel="0" collapsed="false">
      <c r="A126" s="0" t="n">
        <f aca="false">ODD(-4)</f>
        <v>-5</v>
      </c>
      <c r="B126" s="0" t="s">
        <v>147</v>
      </c>
    </row>
    <row r="127" customFormat="false" ht="15" hidden="false" customHeight="false" outlineLevel="0" collapsed="false">
      <c r="A127" s="0" t="str">
        <f aca="false">IF(Data!A1&gt;2,"big","small")</f>
        <v>big</v>
      </c>
      <c r="B127" s="0" t="s">
        <v>148</v>
      </c>
    </row>
    <row r="128" customFormat="false" ht="15" hidden="false" customHeight="false" outlineLevel="0" collapsed="false">
      <c r="A128" s="1" t="b">
        <f aca="false">IF(Data!A2&gt;2,"big")</f>
        <v>0</v>
      </c>
      <c r="B128" s="0" t="s">
        <v>149</v>
      </c>
    </row>
    <row r="129" customFormat="false" ht="15" hidden="false" customHeight="false" outlineLevel="0" collapsed="false">
      <c r="A129" s="0" t="str">
        <f aca="false">_xlfn.IFS(Data!A1&lt;0,"neg",Data!A1&lt;5,"small",TRUE(),"big")</f>
        <v>small</v>
      </c>
      <c r="B129" s="0" t="s">
        <v>150</v>
      </c>
    </row>
    <row r="130" customFormat="false" ht="15" hidden="false" customHeight="false" outlineLevel="0" collapsed="false">
      <c r="A130" s="0" t="str">
        <f aca="false">IFERROR(1/0,"div")</f>
        <v>div</v>
      </c>
      <c r="B130" s="0" t="s">
        <v>151</v>
      </c>
    </row>
    <row r="131" customFormat="false" ht="15" hidden="false" customHeight="false" outlineLevel="0" collapsed="false">
      <c r="A131" s="0" t="n">
        <f aca="false">IFERROR(5,"x")</f>
        <v>5</v>
      </c>
      <c r="B131" s="0" t="s">
        <v>152</v>
      </c>
    </row>
    <row r="132" customFormat="false" ht="15" hidden="false" customHeight="false" outlineLevel="0" collapsed="false">
      <c r="A132" s="0" t="str">
        <f aca="false">_xlfn.IFNA(NA(),"na")</f>
        <v>na</v>
      </c>
      <c r="B132" s="0" t="s">
        <v>153</v>
      </c>
    </row>
    <row r="133" customFormat="false" ht="15" hidden="false" customHeight="false" outlineLevel="0" collapsed="false">
      <c r="A133" s="1" t="b">
        <f aca="false">AND(TRUE(),1,Data!A1&gt;0)</f>
        <v>1</v>
      </c>
      <c r="B133" s="0" t="s">
        <v>154</v>
      </c>
    </row>
    <row r="134" customFormat="false" ht="15" hidden="false" customHeight="false" outlineLevel="0" collapsed="false">
      <c r="A134" s="1" t="e">
        <f aca="false">AND(Data!B1:B3)</f>
        <v>#VALUE!</v>
      </c>
      <c r="B134" s="0" t="s">
        <v>155</v>
      </c>
    </row>
    <row r="135" customFormat="false" ht="15" hidden="false" customHeight="false" outlineLevel="0" collapsed="false">
      <c r="A135" s="1" t="b">
        <f aca="false">OR(FALSE(),0)</f>
        <v>0</v>
      </c>
      <c r="B135" s="0" t="s">
        <v>156</v>
      </c>
    </row>
    <row r="136" customFormat="false" ht="15" hidden="false" customHeight="false" outlineLevel="0" collapsed="false">
      <c r="A136" s="1" t="b">
        <f aca="false">_xlfn.XOR(TRUE(),FALSE(),TRUE())</f>
        <v>0</v>
      </c>
      <c r="B136" s="0" t="s">
        <v>157</v>
      </c>
    </row>
    <row r="137" customFormat="false" ht="15" hidden="false" customHeight="false" outlineLevel="0" collapsed="false">
      <c r="A137" s="1" t="b">
        <f aca="false">NOT(Data!A4)</f>
        <v>1</v>
      </c>
      <c r="B137" s="0" t="s">
        <v>158</v>
      </c>
    </row>
    <row r="138" customFormat="false" ht="15" hidden="false" customHeight="false" outlineLevel="0" collapsed="false">
      <c r="A138" s="0" t="str">
        <f aca="false">_xlfn.SWITCH(3,1,"a",3,"c","z")</f>
        <v>c</v>
      </c>
      <c r="B138" s="0" t="s">
        <v>159</v>
      </c>
    </row>
    <row r="139" customFormat="false" ht="15" hidden="false" customHeight="false" outlineLevel="0" collapsed="false">
      <c r="A139" s="0" t="str">
        <f aca="false">CHOOSE(3,"a","b","c")</f>
        <v>c</v>
      </c>
      <c r="B139" s="0" t="s">
        <v>160</v>
      </c>
    </row>
    <row r="140" customFormat="false" ht="15" hidden="false" customHeight="false" outlineLevel="0" collapsed="false">
      <c r="A140" s="0" t="str">
        <f aca="false">VLOOKUP(150,Data!E1:F5,2)</f>
        <v>hundred</v>
      </c>
      <c r="B140" s="0" t="s">
        <v>161</v>
      </c>
    </row>
    <row r="141" customFormat="false" ht="15" hidden="false" customHeight="false" outlineLevel="0" collapsed="false">
      <c r="A141" s="0" t="e">
        <f aca="false">VLOOKUP(150,Data!E1:F5,2,FALSE())</f>
        <v>#N/A</v>
      </c>
      <c r="B141" s="0" t="s">
        <v>162</v>
      </c>
    </row>
    <row r="142" customFormat="false" ht="15" hidden="false" customHeight="false" outlineLevel="0" collapsed="false">
      <c r="A142" s="0" t="str">
        <f aca="false">VLOOKUP(1000,Data!E1:F5,2,FALSE())</f>
        <v>thousand</v>
      </c>
      <c r="B142" s="0" t="s">
        <v>163</v>
      </c>
    </row>
    <row r="143" customFormat="false" ht="15" hidden="false" customHeight="false" outlineLevel="0" collapsed="false">
      <c r="A143" s="0" t="e">
        <f aca="false">VLOOKUP(0.5,Data!E1:F5,2)</f>
        <v>#N/A</v>
      </c>
      <c r="B143" s="0" t="s">
        <v>164</v>
      </c>
    </row>
    <row r="144" customFormat="false" ht="15" hidden="false" customHeight="false" outlineLevel="0" collapsed="false">
      <c r="A144" s="0" t="str">
        <f aca="false">VLOOKUP(99999,Data!E1:F5,2,TRUE())</f>
        <v>ten thousand</v>
      </c>
      <c r="B144" s="0" t="s">
        <v>165</v>
      </c>
    </row>
    <row r="145" customFormat="false" ht="15" hidden="false" customHeight="false" outlineLevel="0" collapsed="false">
      <c r="A145" s="0" t="n">
        <f aca="false">HLOOKUP("Sales",Data!J1:L7,3,FALSE())</f>
        <v>80</v>
      </c>
      <c r="B145" s="0" t="s">
        <v>166</v>
      </c>
    </row>
    <row r="146" customFormat="false" ht="15" hidden="false" customHeight="false" outlineLevel="0" collapsed="false">
      <c r="A146" s="0" t="n">
        <f aca="false">MATCH(100,Data!E1:E5,0)</f>
        <v>3</v>
      </c>
      <c r="B146" s="0" t="s">
        <v>167</v>
      </c>
    </row>
    <row r="147" customFormat="false" ht="15" hidden="false" customHeight="false" outlineLevel="0" collapsed="false">
      <c r="A147" s="0" t="n">
        <f aca="false">MATCH(500,Data!E1:E5)</f>
        <v>3</v>
      </c>
      <c r="B147" s="0" t="s">
        <v>168</v>
      </c>
    </row>
    <row r="148" customFormat="false" ht="15" hidden="false" customHeight="false" outlineLevel="0" collapsed="false">
      <c r="A148" s="0" t="n">
        <f aca="false">MATCH("ch*",Data!B1:B10,0)</f>
        <v>3</v>
      </c>
      <c r="B148" s="0" t="s">
        <v>169</v>
      </c>
    </row>
    <row r="149" customFormat="false" ht="15" hidden="false" customHeight="false" outlineLevel="0" collapsed="false">
      <c r="A149" s="0" t="n">
        <f aca="false">MATCH("APPLE",Data!B1:B10,0)</f>
        <v>1</v>
      </c>
      <c r="B149" s="0" t="s">
        <v>170</v>
      </c>
    </row>
    <row r="150" customFormat="false" ht="15" hidden="false" customHeight="false" outlineLevel="0" collapsed="false">
      <c r="A150" s="0" t="str">
        <f aca="false">INDEX(Data!E1:F5,3,2)</f>
        <v>hundred</v>
      </c>
      <c r="B150" s="0" t="s">
        <v>171</v>
      </c>
    </row>
    <row r="151" customFormat="false" ht="15" hidden="false" customHeight="false" outlineLevel="0" collapsed="false">
      <c r="A151" s="0" t="n">
        <f aca="false">INDEX(Data!E1:E5,4)</f>
        <v>1000</v>
      </c>
      <c r="B151" s="0" t="s">
        <v>172</v>
      </c>
    </row>
    <row r="152" customFormat="false" ht="15" hidden="false" customHeight="false" outlineLevel="0" collapsed="false">
      <c r="A152" s="0" t="e">
        <f aca="false">INDEX(Data!G1:I3,2,0)</f>
        <v>#VALUE!</v>
      </c>
      <c r="B152" s="0" t="s">
        <v>173</v>
      </c>
    </row>
    <row r="153" customFormat="false" ht="15" hidden="false" customHeight="false" outlineLevel="0" collapsed="false">
      <c r="A153" s="0" t="n">
        <f aca="false">SUM(INDEX(Data!G1:I3,0,2))</f>
        <v>5</v>
      </c>
      <c r="B153" s="0" t="s">
        <v>174</v>
      </c>
    </row>
    <row r="154" customFormat="false" ht="15" hidden="false" customHeight="false" outlineLevel="0" collapsed="false">
      <c r="A154" s="0" t="str">
        <f aca="false">INDEX(Data!F1:F5,MATCH(1000,Data!E1:E5,0))</f>
        <v>thousand</v>
      </c>
      <c r="B154" s="0" t="s">
        <v>175</v>
      </c>
    </row>
    <row r="155" customFormat="false" ht="15" hidden="false" customHeight="false" outlineLevel="0" collapsed="false">
      <c r="A155" s="0" t="e">
        <f aca="false">_xlfn.xlookup(10,Data!E1:E5,Data!F1:F5)</f>
        <v>#NAME?</v>
      </c>
      <c r="B155" s="0" t="s">
        <v>176</v>
      </c>
    </row>
    <row r="156" customFormat="false" ht="15" hidden="false" customHeight="false" outlineLevel="0" collapsed="false">
      <c r="A156" s="0" t="e">
        <f aca="false">_xlfn.xlookup(55,Data!E1:E5,Data!F1:F5,"none")</f>
        <v>#NAME?</v>
      </c>
      <c r="B156" s="0" t="s">
        <v>177</v>
      </c>
    </row>
    <row r="157" customFormat="false" ht="15" hidden="false" customHeight="false" outlineLevel="0" collapsed="false">
      <c r="A157" s="0" t="e">
        <f aca="false">_xlfn.xlookup(55,Data!E1:E5,Data!F1:F5,,-1)</f>
        <v>#NAME?</v>
      </c>
      <c r="B157" s="0" t="s">
        <v>178</v>
      </c>
    </row>
    <row r="158" customFormat="false" ht="15" hidden="false" customHeight="false" outlineLevel="0" collapsed="false">
      <c r="A158" s="0" t="e">
        <f aca="false">_xlfn.xlookup(55,Data!E1:E5,Data!F1:F5,,1)</f>
        <v>#NAME?</v>
      </c>
      <c r="B158" s="0" t="s">
        <v>179</v>
      </c>
    </row>
    <row r="159" customFormat="false" ht="15" hidden="false" customHeight="false" outlineLevel="0" collapsed="false">
      <c r="A159" s="0" t="e">
        <f aca="false">_xlfn.xlookup("North",Data!J2:J7,Data!K2:K7,,0,-1)</f>
        <v>#NAME?</v>
      </c>
      <c r="B159" s="0" t="s">
        <v>180</v>
      </c>
    </row>
    <row r="160" customFormat="false" ht="15" hidden="false" customHeight="false" outlineLevel="0" collapsed="false">
      <c r="A160" s="0" t="str">
        <f aca="false">LOOKUP(500,Data!E1:E5,Data!F1:F5)</f>
        <v>hundred</v>
      </c>
      <c r="B160" s="0" t="s">
        <v>181</v>
      </c>
    </row>
    <row r="161" customFormat="false" ht="15" hidden="false" customHeight="false" outlineLevel="0" collapsed="false">
      <c r="A161" s="0" t="n">
        <f aca="false">ROW(Data!C7)</f>
        <v>7</v>
      </c>
      <c r="B161" s="0" t="s">
        <v>182</v>
      </c>
    </row>
    <row r="162" customFormat="false" ht="15" hidden="false" customHeight="false" outlineLevel="0" collapsed="false">
      <c r="A162" s="0" t="n">
        <f aca="false">COLUMN(Data!C7)</f>
        <v>3</v>
      </c>
      <c r="B162" s="0" t="s">
        <v>183</v>
      </c>
    </row>
    <row r="163" customFormat="false" ht="15" hidden="false" customHeight="false" outlineLevel="0" collapsed="false">
      <c r="A163" s="0" t="n">
        <f aca="false">ROWS(Data!A1:C10)</f>
        <v>10</v>
      </c>
      <c r="B163" s="0" t="s">
        <v>184</v>
      </c>
    </row>
    <row r="164" customFormat="false" ht="15" hidden="false" customHeight="false" outlineLevel="0" collapsed="false">
      <c r="A164" s="0" t="n">
        <f aca="false">COLUMNS(Data!A1:C10)</f>
        <v>3</v>
      </c>
      <c r="B164" s="0" t="s">
        <v>185</v>
      </c>
    </row>
    <row r="165" customFormat="false" ht="15" hidden="false" customHeight="false" outlineLevel="0" collapsed="false">
      <c r="A165" s="0" t="n">
        <f aca="true">SUM(OFFSET(Data!A1,2,0,3,1))</f>
        <v>19.25</v>
      </c>
      <c r="B165" s="0" t="s">
        <v>186</v>
      </c>
    </row>
    <row r="166" customFormat="false" ht="15" hidden="false" customHeight="false" outlineLevel="0" collapsed="false">
      <c r="A166" s="0" t="n">
        <f aca="true">INDIRECT("Data!A3")*2</f>
        <v>14</v>
      </c>
      <c r="B166" s="0" t="s">
        <v>187</v>
      </c>
    </row>
    <row r="167" customFormat="false" ht="15" hidden="false" customHeight="false" outlineLevel="0" collapsed="false">
      <c r="A167" s="0" t="str">
        <f aca="false">LEFT(Data!B4,5)</f>
        <v>apple</v>
      </c>
      <c r="B167" s="0" t="s">
        <v>188</v>
      </c>
    </row>
    <row r="168" customFormat="false" ht="15" hidden="false" customHeight="false" outlineLevel="0" collapsed="false">
      <c r="A168" s="0" t="str">
        <f aca="false">RIGHT(Data!B4,3)</f>
        <v>pie</v>
      </c>
      <c r="B168" s="0" t="s">
        <v>189</v>
      </c>
    </row>
    <row r="169" customFormat="false" ht="15" hidden="false" customHeight="false" outlineLevel="0" collapsed="false">
      <c r="A169" s="0" t="str">
        <f aca="false">MID(Data!B4,3,4)</f>
        <v>ple </v>
      </c>
      <c r="B169" s="0" t="s">
        <v>190</v>
      </c>
    </row>
    <row r="170" customFormat="false" ht="15" hidden="false" customHeight="false" outlineLevel="0" collapsed="false">
      <c r="A170" s="0" t="n">
        <f aca="false">LEN(Data!B4)</f>
        <v>9</v>
      </c>
      <c r="B170" s="0" t="s">
        <v>191</v>
      </c>
    </row>
    <row r="171" customFormat="false" ht="15" hidden="false" customHeight="false" outlineLevel="0" collapsed="false">
      <c r="A171" s="0" t="n">
        <f aca="false">FIND("p",Data!B4)</f>
        <v>2</v>
      </c>
      <c r="B171" s="0" t="s">
        <v>192</v>
      </c>
    </row>
    <row r="172" customFormat="false" ht="15" hidden="false" customHeight="false" outlineLevel="0" collapsed="false">
      <c r="A172" s="0" t="n">
        <f aca="false">FIND("p",Data!B4,3)</f>
        <v>3</v>
      </c>
      <c r="B172" s="0" t="s">
        <v>193</v>
      </c>
    </row>
    <row r="173" customFormat="false" ht="15" hidden="false" customHeight="false" outlineLevel="0" collapsed="false">
      <c r="A173" s="0" t="n">
        <f aca="false">SEARCH("P*E",Data!B4)</f>
        <v>2</v>
      </c>
      <c r="B173" s="0" t="s">
        <v>194</v>
      </c>
    </row>
    <row r="174" customFormat="false" ht="15" hidden="false" customHeight="false" outlineLevel="0" collapsed="false">
      <c r="A174" s="0" t="e">
        <f aca="false">SEARCH("z",Data!B4)</f>
        <v>#VALUE!</v>
      </c>
      <c r="B174" s="0" t="s">
        <v>195</v>
      </c>
    </row>
    <row r="175" customFormat="false" ht="15" hidden="false" customHeight="false" outlineLevel="0" collapsed="false">
      <c r="A175" s="0" t="str">
        <f aca="false">SUBSTITUTE("aaa","a","b",2)</f>
        <v>aba</v>
      </c>
      <c r="B175" s="0" t="s">
        <v>196</v>
      </c>
    </row>
    <row r="176" customFormat="false" ht="15" hidden="false" customHeight="false" outlineLevel="0" collapsed="false">
      <c r="A176" s="0" t="str">
        <f aca="false">SUBSTITUTE("a-b-c","-","+")</f>
        <v>a+b+c</v>
      </c>
      <c r="B176" s="0" t="s">
        <v>197</v>
      </c>
    </row>
    <row r="177" customFormat="false" ht="15" hidden="false" customHeight="false" outlineLevel="0" collapsed="false">
      <c r="A177" s="0" t="str">
        <f aca="false">REPLACE("abcdef",2,3,"XY")</f>
        <v>aXYef</v>
      </c>
      <c r="B177" s="0" t="s">
        <v>198</v>
      </c>
    </row>
    <row r="178" customFormat="false" ht="15" hidden="false" customHeight="false" outlineLevel="0" collapsed="false">
      <c r="A178" s="0" t="str">
        <f aca="false">UPPER(Data!B2)</f>
        <v>BANANA</v>
      </c>
      <c r="B178" s="0" t="s">
        <v>199</v>
      </c>
    </row>
    <row r="179" customFormat="false" ht="15" hidden="false" customHeight="false" outlineLevel="0" collapsed="false">
      <c r="A179" s="0" t="str">
        <f aca="false">LOWER(Data!B2)</f>
        <v>banana</v>
      </c>
      <c r="B179" s="0" t="s">
        <v>200</v>
      </c>
    </row>
    <row r="180" customFormat="false" ht="15" hidden="false" customHeight="false" outlineLevel="0" collapsed="false">
      <c r="A180" s="0" t="str">
        <f aca="false">PROPER("hello wORLD")</f>
        <v>Hello World</v>
      </c>
      <c r="B180" s="0" t="s">
        <v>201</v>
      </c>
    </row>
    <row r="181" customFormat="false" ht="15" hidden="false" customHeight="false" outlineLevel="0" collapsed="false">
      <c r="A181" s="0" t="str">
        <f aca="false">TRIM("  a   b  ")</f>
        <v>a b</v>
      </c>
      <c r="B181" s="0" t="s">
        <v>202</v>
      </c>
    </row>
    <row r="182" customFormat="false" ht="15" hidden="false" customHeight="false" outlineLevel="0" collapsed="false">
      <c r="A182" s="0" t="str">
        <f aca="false">_xlfn.CONCAT(Data!B1:B3)</f>
        <v>appleBananacherry</v>
      </c>
      <c r="B182" s="0" t="s">
        <v>203</v>
      </c>
    </row>
    <row r="183" customFormat="false" ht="15" hidden="false" customHeight="false" outlineLevel="0" collapsed="false">
      <c r="A183" s="0" t="str">
        <f aca="false">CONCATENATE("x",1,"y")</f>
        <v>x1y</v>
      </c>
      <c r="B183" s="0" t="s">
        <v>204</v>
      </c>
    </row>
    <row r="184" customFormat="false" ht="15" hidden="false" customHeight="false" outlineLevel="0" collapsed="false">
      <c r="A184" s="0" t="str">
        <f aca="false">_xlfn.TEXTJOIN(";",TRUE(),Data!B4:B6)</f>
        <v>apple pie;Date</v>
      </c>
      <c r="B184" s="0" t="s">
        <v>205</v>
      </c>
    </row>
    <row r="185" customFormat="false" ht="15" hidden="false" customHeight="false" outlineLevel="0" collapsed="false">
      <c r="A185" s="0" t="str">
        <f aca="false">_xlfn.TEXTJOIN(";",FALSE(),Data!B4:B6)</f>
        <v>apple pie;;Date</v>
      </c>
      <c r="B185" s="0" t="s">
        <v>206</v>
      </c>
    </row>
    <row r="186" customFormat="false" ht="15" hidden="false" customHeight="false" outlineLevel="0" collapsed="false">
      <c r="A186" s="0" t="str">
        <f aca="false">REPT("-",5)</f>
        <v>-----</v>
      </c>
      <c r="B186" s="0" t="s">
        <v>207</v>
      </c>
    </row>
    <row r="187" customFormat="false" ht="15" hidden="false" customHeight="false" outlineLevel="0" collapsed="false">
      <c r="A187" s="1" t="b">
        <f aca="false">EXACT("A","a")</f>
        <v>0</v>
      </c>
      <c r="B187" s="0" t="s">
        <v>208</v>
      </c>
    </row>
    <row r="188" customFormat="false" ht="15" hidden="false" customHeight="false" outlineLevel="0" collapsed="false">
      <c r="A188" s="0" t="str">
        <f aca="false">CHAR(65)</f>
        <v>A</v>
      </c>
      <c r="B188" s="0" t="s">
        <v>209</v>
      </c>
    </row>
    <row r="189" customFormat="false" ht="15" hidden="false" customHeight="false" outlineLevel="0" collapsed="false">
      <c r="A189" s="0" t="n">
        <f aca="false">CODE("a")</f>
        <v>97</v>
      </c>
      <c r="B189" s="0" t="s">
        <v>210</v>
      </c>
    </row>
    <row r="190" customFormat="false" ht="15" hidden="false" customHeight="false" outlineLevel="0" collapsed="false">
      <c r="A190" s="0" t="n">
        <f aca="false">VALUE("1,234.5")</f>
        <v>1234.5</v>
      </c>
      <c r="B190" s="0" t="s">
        <v>211</v>
      </c>
    </row>
    <row r="191" customFormat="false" ht="15" hidden="false" customHeight="false" outlineLevel="0" collapsed="false">
      <c r="A191" s="0" t="n">
        <f aca="false">VALUE("12%")</f>
        <v>0.12</v>
      </c>
      <c r="B191" s="0" t="s">
        <v>212</v>
      </c>
    </row>
    <row r="192" customFormat="false" ht="15" hidden="false" customHeight="false" outlineLevel="0" collapsed="false">
      <c r="A192" s="0" t="n">
        <f aca="false">VALUE(" 3e2 ")</f>
        <v>300</v>
      </c>
      <c r="B192" s="0" t="s">
        <v>213</v>
      </c>
    </row>
    <row r="193" customFormat="false" ht="15" hidden="false" customHeight="false" outlineLevel="0" collapsed="false">
      <c r="A193" s="0" t="n">
        <f aca="false">VALUE("2023-03-15")</f>
        <v>45000</v>
      </c>
      <c r="B193" s="0" t="s">
        <v>214</v>
      </c>
    </row>
    <row r="194" customFormat="false" ht="15" hidden="false" customHeight="false" outlineLevel="0" collapsed="false">
      <c r="A194" s="0" t="str">
        <f aca="false">T(1)</f>
        <v/>
      </c>
      <c r="B194" s="0" t="s">
        <v>215</v>
      </c>
    </row>
    <row r="195" customFormat="false" ht="15" hidden="false" customHeight="false" outlineLevel="0" collapsed="false">
      <c r="A195" s="0" t="n">
        <f aca="false">N(TRUE())</f>
        <v>1</v>
      </c>
      <c r="B195" s="0" t="s">
        <v>216</v>
      </c>
    </row>
    <row r="196" customFormat="false" ht="15" hidden="false" customHeight="false" outlineLevel="0" collapsed="false">
      <c r="A196" s="0" t="n">
        <f aca="false">N("x")</f>
        <v>0</v>
      </c>
      <c r="B196" s="0" t="s">
        <v>217</v>
      </c>
    </row>
    <row r="197" customFormat="false" ht="15" hidden="false" customHeight="false" outlineLevel="0" collapsed="false">
      <c r="A197" s="0" t="str">
        <f aca="false">FIXED(1234.567,1)</f>
        <v>1,234.6</v>
      </c>
      <c r="B197" s="0" t="s">
        <v>218</v>
      </c>
    </row>
    <row r="198" customFormat="false" ht="15" hidden="false" customHeight="false" outlineLevel="0" collapsed="false">
      <c r="A198" s="0" t="str">
        <f aca="false">FIXED(1234.567,1,TRUE())</f>
        <v>1234.6</v>
      </c>
      <c r="B198" s="0" t="s">
        <v>219</v>
      </c>
    </row>
    <row r="199" customFormat="false" ht="15" hidden="false" customHeight="false" outlineLevel="0" collapsed="false">
      <c r="A199" s="0" t="str">
        <f aca="false">TEXT(1234.567,"#,##0.00")</f>
        <v>1,234.57</v>
      </c>
      <c r="B199" s="0" t="s">
        <v>220</v>
      </c>
    </row>
    <row r="200" customFormat="false" ht="15" hidden="false" customHeight="false" outlineLevel="0" collapsed="false">
      <c r="A200" s="0" t="str">
        <f aca="false">TEXT(0.256,"0.0%")</f>
        <v>25.6%</v>
      </c>
      <c r="B200" s="0" t="s">
        <v>221</v>
      </c>
    </row>
    <row r="201" customFormat="false" ht="15" hidden="false" customHeight="false" outlineLevel="0" collapsed="false">
      <c r="A201" s="0" t="str">
        <f aca="false">TEXT(12345.678,"0.00E+00")</f>
        <v>1.23E+04</v>
      </c>
      <c r="B201" s="0" t="s">
        <v>222</v>
      </c>
    </row>
    <row r="202" customFormat="false" ht="15" hidden="false" customHeight="false" outlineLevel="0" collapsed="false">
      <c r="A202" s="0" t="str">
        <f aca="false">TEXT(-1234,"#,##0;(#,##0)")</f>
        <v>(1,234)</v>
      </c>
      <c r="B202" s="0" t="s">
        <v>223</v>
      </c>
    </row>
    <row r="203" customFormat="false" ht="15" hidden="false" customHeight="false" outlineLevel="0" collapsed="false">
      <c r="A203" s="0" t="str">
        <f aca="false">TEXT(0,"0.0;-0.0;""zero""")</f>
        <v>zero</v>
      </c>
      <c r="B203" s="0" t="s">
        <v>224</v>
      </c>
    </row>
    <row r="204" customFormat="false" ht="15" hidden="false" customHeight="false" outlineLevel="0" collapsed="false">
      <c r="A204" s="0" t="str">
        <f aca="false">TEXT(5,"000")</f>
        <v>005</v>
      </c>
      <c r="B204" s="0" t="s">
        <v>225</v>
      </c>
    </row>
    <row r="205" customFormat="false" ht="15" hidden="false" customHeight="false" outlineLevel="0" collapsed="false">
      <c r="A205" s="0" t="str">
        <f aca="false">TEXT(45000,"yyyy-mm-dd")</f>
        <v>2023-03-15</v>
      </c>
      <c r="B205" s="0" t="s">
        <v>226</v>
      </c>
    </row>
    <row r="206" customFormat="false" ht="15" hidden="false" customHeight="false" outlineLevel="0" collapsed="false">
      <c r="A206" s="0" t="str">
        <f aca="false">TEXT(45001.5,"dd.mm.yyyy hh:mm")</f>
        <v>16.03.2023 12:00</v>
      </c>
      <c r="B206" s="0" t="s">
        <v>227</v>
      </c>
    </row>
    <row r="207" customFormat="false" ht="15" hidden="false" customHeight="false" outlineLevel="0" collapsed="false">
      <c r="A207" s="0" t="str">
        <f aca="false">TEXT(45000,"dddd, mmmm d")</f>
        <v>Wednesday, March 15</v>
      </c>
      <c r="B207" s="0" t="s">
        <v>228</v>
      </c>
    </row>
    <row r="208" customFormat="false" ht="15" hidden="false" customHeight="false" outlineLevel="0" collapsed="false">
      <c r="A208" s="0" t="str">
        <f aca="false">TEXT(0.75,"h:mm AM/PM")</f>
        <v>6:00 PM</v>
      </c>
      <c r="B208" s="0" t="s">
        <v>229</v>
      </c>
    </row>
    <row r="209" customFormat="false" ht="15" hidden="false" customHeight="false" outlineLevel="0" collapsed="false">
      <c r="A209" s="0" t="str">
        <f aca="false">TEXT(1.25,"[h]:mm")</f>
        <v>30:00</v>
      </c>
      <c r="B209" s="0" t="s">
        <v>230</v>
      </c>
    </row>
    <row r="210" customFormat="false" ht="15" hidden="false" customHeight="false" outlineLevel="0" collapsed="false">
      <c r="A210" s="0" t="str">
        <f aca="false">TEXT(1234567,"#,##0,")</f>
        <v>1,235</v>
      </c>
      <c r="B210" s="0" t="s">
        <v>231</v>
      </c>
    </row>
    <row r="211" customFormat="false" ht="15" hidden="false" customHeight="false" outlineLevel="0" collapsed="false">
      <c r="A211" s="0" t="str">
        <f aca="false">TEXT(3.5,"# ?/?")</f>
        <v>3 1/2</v>
      </c>
      <c r="B211" s="0" t="s">
        <v>232</v>
      </c>
    </row>
    <row r="212" customFormat="false" ht="15" hidden="false" customHeight="false" outlineLevel="0" collapsed="false">
      <c r="A212" s="0" t="str">
        <f aca="false">TEXT(0.5,"0.00")</f>
        <v>0.50</v>
      </c>
      <c r="B212" s="0" t="s">
        <v>233</v>
      </c>
    </row>
    <row r="213" customFormat="false" ht="15" hidden="false" customHeight="false" outlineLevel="0" collapsed="false">
      <c r="A213" s="0" t="str">
        <f aca="false">TEXT(-0.004,"0.00")</f>
        <v>0.00</v>
      </c>
      <c r="B213" s="0" t="s">
        <v>234</v>
      </c>
    </row>
    <row r="214" customFormat="false" ht="15" hidden="false" customHeight="false" outlineLevel="0" collapsed="false">
      <c r="A214" s="0" t="str">
        <f aca="false">TEXT(123.456,"0")</f>
        <v>123</v>
      </c>
      <c r="B214" s="0" t="s">
        <v>235</v>
      </c>
    </row>
    <row r="215" customFormat="false" ht="15" hidden="false" customHeight="false" outlineLevel="0" collapsed="false">
      <c r="A215" s="0" t="str">
        <f aca="false">TEXT(1.5,"#.##")</f>
        <v>1.5</v>
      </c>
      <c r="B215" s="0" t="s">
        <v>236</v>
      </c>
    </row>
    <row r="216" customFormat="false" ht="15" hidden="false" customHeight="false" outlineLevel="0" collapsed="false">
      <c r="A216" s="0" t="str">
        <f aca="false">TEXT(2,"#.00")</f>
        <v>2.00</v>
      </c>
      <c r="B216" s="0" t="s">
        <v>237</v>
      </c>
    </row>
    <row r="217" customFormat="false" ht="15" hidden="false" customHeight="false" outlineLevel="0" collapsed="false">
      <c r="A217" s="1" t="b">
        <f aca="false">ISNUMBER(Data!C1)</f>
        <v>1</v>
      </c>
      <c r="B217" s="0" t="s">
        <v>238</v>
      </c>
    </row>
    <row r="218" customFormat="false" ht="15" hidden="false" customHeight="false" outlineLevel="0" collapsed="false">
      <c r="A218" s="1" t="b">
        <f aca="false">ISNUMBER(Data!C2)</f>
        <v>0</v>
      </c>
      <c r="B218" s="0" t="s">
        <v>239</v>
      </c>
    </row>
    <row r="219" customFormat="false" ht="15" hidden="false" customHeight="false" outlineLevel="0" collapsed="false">
      <c r="A219" s="1" t="b">
        <f aca="false">ISTEXT(Data!C2)</f>
        <v>1</v>
      </c>
      <c r="B219" s="0" t="s">
        <v>240</v>
      </c>
    </row>
    <row r="220" customFormat="false" ht="15" hidden="false" customHeight="false" outlineLevel="0" collapsed="false">
      <c r="A220" s="1" t="b">
        <f aca="false">ISBLANK(Data!C4)</f>
        <v>1</v>
      </c>
      <c r="B220" s="0" t="s">
        <v>241</v>
      </c>
    </row>
    <row r="221" customFormat="false" ht="15" hidden="false" customHeight="false" outlineLevel="0" collapsed="false">
      <c r="A221" s="1" t="b">
        <f aca="false">ISBLANK(Data!B5)</f>
        <v>1</v>
      </c>
      <c r="B221" s="0" t="s">
        <v>242</v>
      </c>
    </row>
    <row r="222" customFormat="false" ht="15" hidden="false" customHeight="false" outlineLevel="0" collapsed="false">
      <c r="A222" s="1" t="b">
        <f aca="false">ISLOGICAL(Data!C3)</f>
        <v>1</v>
      </c>
      <c r="B222" s="0" t="s">
        <v>243</v>
      </c>
    </row>
    <row r="223" customFormat="false" ht="15" hidden="false" customHeight="false" outlineLevel="0" collapsed="false">
      <c r="A223" s="1" t="b">
        <f aca="false">ISERROR(1/0)</f>
        <v>1</v>
      </c>
      <c r="B223" s="0" t="s">
        <v>244</v>
      </c>
    </row>
    <row r="224" customFormat="false" ht="15" hidden="false" customHeight="false" outlineLevel="0" collapsed="false">
      <c r="A224" s="1" t="b">
        <f aca="false">ISERR(NA())</f>
        <v>0</v>
      </c>
      <c r="B224" s="0" t="s">
        <v>245</v>
      </c>
    </row>
    <row r="225" customFormat="false" ht="15" hidden="false" customHeight="false" outlineLevel="0" collapsed="false">
      <c r="A225" s="1" t="b">
        <f aca="false">ISNA(NA())</f>
        <v>1</v>
      </c>
      <c r="B225" s="0" t="s">
        <v>246</v>
      </c>
    </row>
    <row r="226" customFormat="false" ht="15" hidden="false" customHeight="false" outlineLevel="0" collapsed="false">
      <c r="A226" s="1" t="b">
        <f aca="false">ISEVEN(4)</f>
        <v>1</v>
      </c>
      <c r="B226" s="0" t="s">
        <v>247</v>
      </c>
    </row>
    <row r="227" customFormat="false" ht="15" hidden="false" customHeight="false" outlineLevel="0" collapsed="false">
      <c r="A227" s="1" t="b">
        <f aca="false">ISODD(-3)</f>
        <v>1</v>
      </c>
      <c r="B227" s="0" t="s">
        <v>248</v>
      </c>
    </row>
    <row r="228" customFormat="false" ht="15" hidden="false" customHeight="false" outlineLevel="0" collapsed="false">
      <c r="A228" s="0" t="n">
        <f aca="false">ERROR.TYPE(1/0)</f>
        <v>2</v>
      </c>
      <c r="B228" s="0" t="s">
        <v>249</v>
      </c>
    </row>
    <row r="229" customFormat="false" ht="15" hidden="false" customHeight="false" outlineLevel="0" collapsed="false">
      <c r="A229" s="0" t="n">
        <f aca="false">TYPE("a")</f>
        <v>2</v>
      </c>
      <c r="B229" s="0" t="s">
        <v>250</v>
      </c>
    </row>
    <row r="230" customFormat="false" ht="15" hidden="false" customHeight="false" outlineLevel="0" collapsed="false">
      <c r="A230" s="0" t="e">
        <f aca="false">TYPE(Data!A1:A2)</f>
        <v>#VALUE!</v>
      </c>
      <c r="B230" s="0" t="s">
        <v>251</v>
      </c>
    </row>
    <row r="231" customFormat="false" ht="15" hidden="false" customHeight="false" outlineLevel="0" collapsed="false">
      <c r="A231" s="2" t="n">
        <f aca="false">DATE(2023,3,15)</f>
        <v>45000</v>
      </c>
      <c r="B231" s="0" t="s">
        <v>252</v>
      </c>
    </row>
    <row r="232" customFormat="false" ht="15" hidden="false" customHeight="false" outlineLevel="0" collapsed="false">
      <c r="A232" s="2" t="n">
        <f aca="false">DATE(2023,14,1)</f>
        <v>45323</v>
      </c>
      <c r="B232" s="0" t="s">
        <v>253</v>
      </c>
    </row>
    <row r="233" customFormat="false" ht="15" hidden="false" customHeight="false" outlineLevel="0" collapsed="false">
      <c r="A233" s="2" t="n">
        <f aca="false">DATE(2024,2,30)</f>
        <v>45352</v>
      </c>
      <c r="B233" s="0" t="s">
        <v>254</v>
      </c>
    </row>
    <row r="234" customFormat="false" ht="15" hidden="false" customHeight="false" outlineLevel="0" collapsed="false">
      <c r="A234" s="2" t="e">
        <f aca="false">DATE(100,1,1)</f>
        <v>#VALUE!</v>
      </c>
      <c r="B234" s="0" t="s">
        <v>255</v>
      </c>
    </row>
    <row r="235" customFormat="false" ht="15" hidden="false" customHeight="false" outlineLevel="0" collapsed="false">
      <c r="A235" s="0" t="n">
        <f aca="false">YEAR(Data!D1)</f>
        <v>2023</v>
      </c>
      <c r="B235" s="0" t="s">
        <v>256</v>
      </c>
    </row>
    <row r="236" customFormat="false" ht="15" hidden="false" customHeight="false" outlineLevel="0" collapsed="false">
      <c r="A236" s="0" t="n">
        <f aca="false">MONTH(Data!D1)</f>
        <v>3</v>
      </c>
      <c r="B236" s="0" t="s">
        <v>257</v>
      </c>
    </row>
    <row r="237" customFormat="false" ht="15" hidden="false" customHeight="false" outlineLevel="0" collapsed="false">
      <c r="A237" s="0" t="n">
        <f aca="false">DAY(Data!D1)</f>
        <v>15</v>
      </c>
      <c r="B237" s="0" t="s">
        <v>258</v>
      </c>
    </row>
    <row r="238" customFormat="false" ht="15" hidden="false" customHeight="false" outlineLevel="0" collapsed="false">
      <c r="A238" s="0" t="n">
        <f aca="false">YEAR(Data!D6)</f>
        <v>1900</v>
      </c>
      <c r="B238" s="0" t="s">
        <v>259</v>
      </c>
    </row>
    <row r="239" customFormat="false" ht="15" hidden="false" customHeight="false" outlineLevel="0" collapsed="false">
      <c r="A239" s="0" t="n">
        <f aca="false">MONTH(Data!D6)</f>
        <v>2</v>
      </c>
      <c r="B239" s="0" t="s">
        <v>260</v>
      </c>
    </row>
    <row r="240" customFormat="false" ht="15" hidden="false" customHeight="false" outlineLevel="0" collapsed="false">
      <c r="A240" s="0" t="n">
        <f aca="false">DAY(Data!D6)</f>
        <v>28</v>
      </c>
      <c r="B240" s="0" t="s">
        <v>261</v>
      </c>
    </row>
    <row r="241" customFormat="false" ht="15" hidden="false" customHeight="false" outlineLevel="0" collapsed="false">
      <c r="A241" s="0" t="n">
        <f aca="false">WEEKDAY(Data!D1)</f>
        <v>4</v>
      </c>
      <c r="B241" s="0" t="s">
        <v>262</v>
      </c>
    </row>
    <row r="242" customFormat="false" ht="15" hidden="false" customHeight="false" outlineLevel="0" collapsed="false">
      <c r="A242" s="0" t="n">
        <f aca="false">WEEKDAY(Data!D1,2)</f>
        <v>3</v>
      </c>
      <c r="B242" s="0" t="s">
        <v>263</v>
      </c>
    </row>
    <row r="243" customFormat="false" ht="15" hidden="false" customHeight="false" outlineLevel="0" collapsed="false">
      <c r="A243" s="0" t="n">
        <f aca="false">WEEKDAY(Data!D1,3)</f>
        <v>2</v>
      </c>
      <c r="B243" s="0" t="s">
        <v>264</v>
      </c>
    </row>
    <row r="244" customFormat="false" ht="15" hidden="false" customHeight="false" outlineLevel="0" collapsed="false">
      <c r="A244" s="0" t="n">
        <f aca="false">WEEKDAY(Data!D5)</f>
        <v>1</v>
      </c>
      <c r="B244" s="0" t="s">
        <v>265</v>
      </c>
    </row>
    <row r="245" customFormat="false" ht="15" hidden="false" customHeight="false" outlineLevel="0" collapsed="false">
      <c r="A245" s="0" t="n">
        <f aca="false">HOUR(Data!D2)</f>
        <v>12</v>
      </c>
      <c r="B245" s="0" t="s">
        <v>266</v>
      </c>
    </row>
    <row r="246" customFormat="false" ht="15" hidden="false" customHeight="false" outlineLevel="0" collapsed="false">
      <c r="A246" s="0" t="n">
        <f aca="false">MINUTE(Data!D9)</f>
        <v>0</v>
      </c>
      <c r="B246" s="0" t="s">
        <v>267</v>
      </c>
    </row>
    <row r="247" customFormat="false" ht="15" hidden="false" customHeight="false" outlineLevel="0" collapsed="false">
      <c r="A247" s="0" t="n">
        <f aca="false">SECOND(TIME(1,2,3))</f>
        <v>3</v>
      </c>
      <c r="B247" s="0" t="s">
        <v>268</v>
      </c>
    </row>
    <row r="248" customFormat="false" ht="15" hidden="false" customHeight="false" outlineLevel="0" collapsed="false">
      <c r="A248" s="3" t="n">
        <f aca="false">TIME(25,0,0)</f>
        <v>0.0416666666666667</v>
      </c>
      <c r="B248" s="0" t="s">
        <v>269</v>
      </c>
    </row>
    <row r="249" customFormat="false" ht="15" hidden="false" customHeight="false" outlineLevel="0" collapsed="false">
      <c r="A249" s="0" t="n">
        <f aca="false">EDATE(Data!D3,1)</f>
        <v>44958</v>
      </c>
      <c r="B249" s="0" t="s">
        <v>270</v>
      </c>
    </row>
    <row r="250" customFormat="false" ht="15" hidden="false" customHeight="false" outlineLevel="0" collapsed="false">
      <c r="A250" s="0" t="n">
        <f aca="false">EOMONTH(Data!D1,0)</f>
        <v>45016</v>
      </c>
      <c r="B250" s="0" t="s">
        <v>271</v>
      </c>
    </row>
    <row r="251" customFormat="false" ht="15" hidden="false" customHeight="false" outlineLevel="0" collapsed="false">
      <c r="A251" s="0" t="n">
        <f aca="false">EOMONTH(Data!D1,-1)</f>
        <v>44985</v>
      </c>
      <c r="B251" s="0" t="s">
        <v>272</v>
      </c>
    </row>
    <row r="252" customFormat="false" ht="15" hidden="false" customHeight="false" outlineLevel="0" collapsed="false">
      <c r="A252" s="0" t="n">
        <f aca="false">_xlfn.DAYS(Data!D1,Data!D3)</f>
        <v>73</v>
      </c>
      <c r="B252" s="0" t="s">
        <v>273</v>
      </c>
    </row>
    <row r="253" customFormat="false" ht="15" hidden="false" customHeight="false" outlineLevel="0" collapsed="false">
      <c r="A253" s="0" t="n">
        <f aca="false">DATEVALUE("2000-01-01")</f>
        <v>36526</v>
      </c>
      <c r="B253" s="0" t="s">
        <v>274</v>
      </c>
    </row>
    <row r="254" customFormat="false" ht="15" hidden="false" customHeight="false" outlineLevel="0" collapsed="false">
      <c r="A254" s="0" t="n">
        <f aca="false">TIMEVALUE("18:00")</f>
        <v>0.75</v>
      </c>
      <c r="B254" s="0" t="s">
        <v>275</v>
      </c>
    </row>
    <row r="255" customFormat="false" ht="15" hidden="false" customHeight="false" outlineLevel="0" collapsed="false">
      <c r="A255" s="0" t="n">
        <f aca="false">DATEDIF(Data!D3,Data!D1,"M")</f>
        <v>2</v>
      </c>
      <c r="B255" s="0" t="s">
        <v>276</v>
      </c>
    </row>
    <row r="256" customFormat="false" ht="15" hidden="false" customHeight="false" outlineLevel="0" collapsed="false">
      <c r="A256" s="0" t="n">
        <f aca="false">NETWORKDAYS(Data!D3,Data!D1)</f>
        <v>53</v>
      </c>
      <c r="B256" s="0" t="s">
        <v>277</v>
      </c>
    </row>
    <row r="257" customFormat="false" ht="15" hidden="false" customHeight="false" outlineLevel="0" collapsed="false">
      <c r="A257" s="0" t="n">
        <f aca="false">WORKDAY(Data!D1,10)</f>
        <v>45014</v>
      </c>
      <c r="B257" s="0" t="s">
        <v>278</v>
      </c>
    </row>
    <row r="258" customFormat="false" ht="15" hidden="false" customHeight="false" outlineLevel="0" collapsed="false">
      <c r="A258" s="0" t="n">
        <f aca="false">YEAR(Data!D8)</f>
        <v>9999</v>
      </c>
      <c r="B258" s="0" t="s">
        <v>279</v>
      </c>
    </row>
    <row r="259" customFormat="false" ht="15" hidden="false" customHeight="false" outlineLevel="0" collapsed="false">
      <c r="A259" s="0" t="n">
        <f aca="false">MEDIAN(Data!A1:A10)</f>
        <v>4</v>
      </c>
      <c r="B259" s="0" t="s">
        <v>280</v>
      </c>
    </row>
    <row r="260" customFormat="false" ht="15" hidden="false" customHeight="false" outlineLevel="0" collapsed="false">
      <c r="A260" s="0" t="n">
        <f aca="false">MODE(Data!A1:A10)</f>
        <v>4</v>
      </c>
      <c r="B260" s="0" t="s">
        <v>281</v>
      </c>
    </row>
    <row r="261" customFormat="false" ht="15" hidden="false" customHeight="false" outlineLevel="0" collapsed="false">
      <c r="A261" s="0" t="n">
        <f aca="false">STDEV(Data!A1:A10)</f>
        <v>30.4823377821759</v>
      </c>
      <c r="B261" s="0" t="s">
        <v>282</v>
      </c>
    </row>
    <row r="262" customFormat="false" ht="15" hidden="false" customHeight="false" outlineLevel="0" collapsed="false">
      <c r="A262" s="0" t="n">
        <f aca="false">_xlfn.STDEV.S(Data!A1:A10)</f>
        <v>30.4823377821759</v>
      </c>
      <c r="B262" s="0" t="s">
        <v>283</v>
      </c>
    </row>
    <row r="263" customFormat="false" ht="15" hidden="false" customHeight="false" outlineLevel="0" collapsed="false">
      <c r="A263" s="0" t="n">
        <f aca="false">_xlfn.STDEV.P(Data!A1:A10)</f>
        <v>28.9180847394844</v>
      </c>
      <c r="B263" s="0" t="s">
        <v>284</v>
      </c>
    </row>
    <row r="264" customFormat="false" ht="15" hidden="false" customHeight="false" outlineLevel="0" collapsed="false">
      <c r="A264" s="0" t="n">
        <f aca="false">STDEVP(Data!A1:A10)</f>
        <v>28.9180847394844</v>
      </c>
      <c r="B264" s="0" t="s">
        <v>285</v>
      </c>
    </row>
    <row r="265" customFormat="false" ht="15" hidden="false" customHeight="false" outlineLevel="0" collapsed="false">
      <c r="A265" s="0" t="n">
        <f aca="false">VAR(Data!A1:A10)</f>
        <v>929.172916666666</v>
      </c>
      <c r="B265" s="0" t="s">
        <v>286</v>
      </c>
    </row>
    <row r="266" customFormat="false" ht="15" hidden="false" customHeight="false" outlineLevel="0" collapsed="false">
      <c r="A266" s="0" t="n">
        <f aca="false">_xlfn.VAR.P(Data!A1:A10)</f>
        <v>836.255625</v>
      </c>
      <c r="B266" s="0" t="s">
        <v>287</v>
      </c>
    </row>
    <row r="267" customFormat="false" ht="15" hidden="false" customHeight="false" outlineLevel="0" collapsed="false">
      <c r="A267" s="0" t="n">
        <f aca="false">LARGE(Data!A1:A10,2)</f>
        <v>12.25</v>
      </c>
      <c r="B267" s="0" t="s">
        <v>288</v>
      </c>
    </row>
    <row r="268" customFormat="false" ht="15" hidden="false" customHeight="false" outlineLevel="0" collapsed="false">
      <c r="A268" s="0" t="n">
        <f aca="false">SMALL(Data!A1:A10,3)</f>
        <v>2.5</v>
      </c>
      <c r="B268" s="0" t="s">
        <v>289</v>
      </c>
    </row>
    <row r="269" customFormat="false" ht="15" hidden="false" customHeight="false" outlineLevel="0" collapsed="false">
      <c r="A269" s="0" t="n">
        <f aca="false">RANK(4,Data!A1:A10)</f>
        <v>5</v>
      </c>
      <c r="B269" s="0" t="s">
        <v>290</v>
      </c>
    </row>
    <row r="270" customFormat="false" ht="15" hidden="false" customHeight="false" outlineLevel="0" collapsed="false">
      <c r="A270" s="0" t="n">
        <f aca="false">RANK(4,Data!A1:A10,1)</f>
        <v>5</v>
      </c>
      <c r="B270" s="0" t="s">
        <v>291</v>
      </c>
    </row>
    <row r="271" customFormat="false" ht="15" hidden="false" customHeight="false" outlineLevel="0" collapsed="false">
      <c r="A271" s="0" t="n">
        <f aca="false">_xlfn.RANK.AVG(4,Data!A1:A10)</f>
        <v>5.5</v>
      </c>
      <c r="B271" s="0" t="s">
        <v>292</v>
      </c>
    </row>
    <row r="272" customFormat="false" ht="15" hidden="false" customHeight="false" outlineLevel="0" collapsed="false">
      <c r="A272" s="0" t="n">
        <f aca="false">PERCENTILE(Data!A1:A10,0.25)</f>
        <v>2.625</v>
      </c>
      <c r="B272" s="0" t="s">
        <v>293</v>
      </c>
    </row>
    <row r="273" customFormat="false" ht="15" hidden="false" customHeight="false" outlineLevel="0" collapsed="false">
      <c r="A273" s="0" t="n">
        <f aca="false">_xlfn.PERCENTILE.INC(Data!A1:A10,0.9)</f>
        <v>21.025</v>
      </c>
      <c r="B273" s="0" t="s">
        <v>294</v>
      </c>
    </row>
    <row r="274" customFormat="false" ht="15" hidden="false" customHeight="false" outlineLevel="0" collapsed="false">
      <c r="A274" s="0" t="n">
        <f aca="false">QUARTILE(Data!A1:A10,3)</f>
        <v>8.5</v>
      </c>
      <c r="B274" s="0" t="s">
        <v>295</v>
      </c>
    </row>
    <row r="275" customFormat="false" ht="15" hidden="false" customHeight="false" outlineLevel="0" collapsed="false">
      <c r="A275" s="0" t="n">
        <f aca="false">CORREL(Data!A1:A5,Data!E1:E5)</f>
        <v>0.791678712740017</v>
      </c>
      <c r="B275" s="0" t="s">
        <v>296</v>
      </c>
    </row>
    <row r="276" customFormat="false" ht="15" hidden="false" customHeight="false" outlineLevel="0" collapsed="false">
      <c r="A276" s="0" t="n">
        <f aca="false">SLOPE(Data!K2:K7,Data!L2:L7)</f>
        <v>-11.25</v>
      </c>
      <c r="B276" s="0" t="s">
        <v>297</v>
      </c>
    </row>
    <row r="277" customFormat="false" ht="15" hidden="false" customHeight="false" outlineLevel="0" collapsed="false">
      <c r="A277" s="0" t="n">
        <f aca="false">INTERCEPT(Data!K2:K7,Data!L2:L7)</f>
        <v>22847.5</v>
      </c>
      <c r="B277" s="0" t="s">
        <v>298</v>
      </c>
    </row>
    <row r="278" customFormat="false" ht="15" hidden="false" customHeight="false" outlineLevel="0" collapsed="false">
      <c r="A278" s="0" t="n">
        <f aca="false">RSQ(Data!K2:K7,Data!L2:L7)</f>
        <v>0.0327669902912621</v>
      </c>
      <c r="B278" s="0" t="s">
        <v>299</v>
      </c>
    </row>
    <row r="279" customFormat="false" ht="15" hidden="false" customHeight="false" outlineLevel="0" collapsed="false">
      <c r="A279" s="0" t="n">
        <f aca="false">STEYX(Data!K2:K7,Data!L2:L7)</f>
        <v>61.1223158919883</v>
      </c>
      <c r="B279" s="0" t="s">
        <v>300</v>
      </c>
    </row>
    <row r="280" customFormat="false" ht="15" hidden="false" customHeight="false" outlineLevel="0" collapsed="false">
      <c r="A280" s="0" t="n">
        <f aca="false">FORECAST(2024,Data!K2:K7,Data!L2:L7)</f>
        <v>77.5</v>
      </c>
      <c r="B280" s="0" t="s">
        <v>301</v>
      </c>
    </row>
    <row r="281" customFormat="false" ht="15" hidden="false" customHeight="false" outlineLevel="0" collapsed="false">
      <c r="A281" s="0" t="n">
        <f aca="false">GEOMEAN(Data!E1:E5)</f>
        <v>100</v>
      </c>
      <c r="B281" s="0" t="s">
        <v>302</v>
      </c>
    </row>
    <row r="282" customFormat="false" ht="15" hidden="false" customHeight="false" outlineLevel="0" collapsed="false">
      <c r="A282" s="0" t="n">
        <f aca="false">HARMEAN(Data!E1:E5)</f>
        <v>4.50004500045</v>
      </c>
      <c r="B282" s="0" t="s">
        <v>303</v>
      </c>
    </row>
    <row r="283" customFormat="false" ht="15" hidden="false" customHeight="false" outlineLevel="0" collapsed="false">
      <c r="A283" s="0" t="n">
        <f aca="false">AVEDEV(Data!A1:A10)</f>
        <v>17.195</v>
      </c>
      <c r="B283" s="0" t="s">
        <v>304</v>
      </c>
    </row>
    <row r="284" customFormat="false" ht="15" hidden="false" customHeight="false" outlineLevel="0" collapsed="false">
      <c r="A284" s="0" t="n">
        <f aca="false">DEVSQ(Data!A1:A10)</f>
        <v>8362.55625</v>
      </c>
      <c r="B284" s="0" t="s">
        <v>305</v>
      </c>
    </row>
    <row r="285" customFormat="false" ht="15" hidden="false" customHeight="false" outlineLevel="0" collapsed="false">
      <c r="A285" s="0" t="n">
        <f aca="false">_xlfn.COVARIANCE.S(Data!A1:A5,Data!E1:E5)</f>
        <v>19269.3375</v>
      </c>
      <c r="B285" s="0" t="s">
        <v>306</v>
      </c>
    </row>
    <row r="286" customFormat="false" ht="15" hidden="false" customHeight="false" outlineLevel="0" collapsed="false">
      <c r="A286" s="0" t="n">
        <f aca="false">_xlfn.NORM.DIST(1,0,1,TRUE())</f>
        <v>0.841344746068543</v>
      </c>
      <c r="B286" s="0" t="s">
        <v>307</v>
      </c>
    </row>
    <row r="287" customFormat="false" ht="15" hidden="false" customHeight="false" outlineLevel="0" collapsed="false">
      <c r="A287" s="0" t="n">
        <f aca="false">_xlfn.NORM.DIST(1,0,1,FALSE())</f>
        <v>0.241970724519143</v>
      </c>
      <c r="B287" s="0" t="s">
        <v>308</v>
      </c>
    </row>
    <row r="288" customFormat="false" ht="15" hidden="false" customHeight="false" outlineLevel="0" collapsed="false">
      <c r="A288" s="0" t="n">
        <f aca="false">_xlfn.NORM.S.INV(0.975)</f>
        <v>1.95996398454005</v>
      </c>
      <c r="B288" s="0" t="s">
        <v>309</v>
      </c>
    </row>
    <row r="289" customFormat="false" ht="15" hidden="false" customHeight="false" outlineLevel="0" collapsed="false">
      <c r="A289" s="0" t="n">
        <f aca="false">_xlfn.NORM.INV(0.1,10,2)</f>
        <v>7.4368968689108</v>
      </c>
      <c r="B289" s="0" t="s">
        <v>310</v>
      </c>
    </row>
    <row r="290" customFormat="false" ht="15" hidden="false" customHeight="false" outlineLevel="0" collapsed="false">
      <c r="A290" s="0" t="n">
        <f aca="false">NORMSDIST(-1.5)</f>
        <v>0.066807201268858</v>
      </c>
      <c r="B290" s="0" t="s">
        <v>311</v>
      </c>
    </row>
    <row r="291" customFormat="false" ht="15" hidden="false" customHeight="false" outlineLevel="0" collapsed="false">
      <c r="A291" s="0" t="n">
        <f aca="false">MDETERM(Data!G1:I3)</f>
        <v>18</v>
      </c>
      <c r="B291" s="0" t="s">
        <v>312</v>
      </c>
    </row>
    <row r="292" customFormat="false" ht="15" hidden="false" customHeight="false" outlineLevel="0" collapsed="false">
      <c r="A292" s="0" t="n">
        <f aca="false">SUM(MMULT(Data!G1:I3,Data!G1:I3))</f>
        <v>59</v>
      </c>
      <c r="B292" s="0" t="s">
        <v>313</v>
      </c>
    </row>
    <row r="293" customFormat="false" ht="15" hidden="false" customHeight="false" outlineLevel="0" collapsed="false">
      <c r="A293" s="0" t="n">
        <f aca="false">INDEX(MINVERSE(Data!G1:I3),1,1)</f>
        <v>0.611111111111111</v>
      </c>
      <c r="B293" s="0" t="s">
        <v>314</v>
      </c>
    </row>
    <row r="294" customFormat="false" ht="15" hidden="false" customHeight="false" outlineLevel="0" collapsed="false">
      <c r="A294" s="0" t="n">
        <f aca="false">INDEX(MMULT(Data!G1:I3,MINVERSE(Data!G1:I3)),2,2)</f>
        <v>1</v>
      </c>
      <c r="B294" s="0" t="s">
        <v>315</v>
      </c>
    </row>
    <row r="295" customFormat="false" ht="15" hidden="false" customHeight="false" outlineLevel="0" collapsed="false">
      <c r="A295" s="0" t="n">
        <f aca="false">SUM(TRANSPOSE(Data!E1:E5))</f>
        <v>11111</v>
      </c>
      <c r="B295" s="0" t="s">
        <v>316</v>
      </c>
    </row>
    <row r="296" customFormat="false" ht="15" hidden="false" customHeight="false" outlineLevel="0" collapsed="false">
      <c r="A296" s="0" t="n">
        <f aca="false">INDEX(LINEST(Data!K2:K7,Data!L2:L7),1)</f>
        <v>-11.25</v>
      </c>
      <c r="B296" s="0" t="s">
        <v>317</v>
      </c>
    </row>
    <row r="297" customFormat="false" ht="15" hidden="false" customHeight="false" outlineLevel="0" collapsed="false">
      <c r="A297" s="0" t="n">
        <f aca="false">INDEX(LINEST(Data!K2:K7,Data!L2:L7),2)</f>
        <v>22847.5</v>
      </c>
      <c r="B297" s="0" t="s">
        <v>318</v>
      </c>
    </row>
    <row r="298" customFormat="false" ht="15" hidden="false" customHeight="false" outlineLevel="0" collapsed="false">
      <c r="A298" s="0" t="n">
        <f aca="false">INDEX(LINEST(Data!K2:K7,Data!L2:L7,TRUE(),TRUE()),3,1)</f>
        <v>0.0327669902912621</v>
      </c>
      <c r="B298" s="0" t="s">
        <v>319</v>
      </c>
    </row>
    <row r="299" customFormat="false" ht="15" hidden="false" customHeight="false" outlineLevel="0" collapsed="false">
      <c r="A299" s="0" t="n">
        <f aca="false">INDEX(LINEST(Data!K2:K7,Data!L2:L7,TRUE(),TRUE()),2,1)</f>
        <v>30.5611579459941</v>
      </c>
      <c r="B299" s="0" t="s">
        <v>320</v>
      </c>
    </row>
    <row r="300" customFormat="false" ht="15" hidden="false" customHeight="false" outlineLevel="0" collapsed="false">
      <c r="A300" s="0" t="n">
        <f aca="false">INDEX(LINEST(Data!K2:K7,Data!L2:L7,TRUE(),TRUE()),4,1)</f>
        <v>0.135508155583438</v>
      </c>
      <c r="B300" s="0" t="s">
        <v>321</v>
      </c>
    </row>
    <row r="301" customFormat="false" ht="15" hidden="false" customHeight="false" outlineLevel="0" collapsed="false">
      <c r="A301" s="0" t="e">
        <f aca="false">INDEX(LINEST(Data!A1:A5,Data!E1:G5),1,4)</f>
        <v>#VALUE!</v>
      </c>
      <c r="B301" s="0" t="s">
        <v>322</v>
      </c>
    </row>
    <row r="302" customFormat="false" ht="15" hidden="false" customHeight="false" outlineLevel="0" collapsed="false">
      <c r="A302" s="0" t="n">
        <f aca="false">INDEX(LINEST(Data!A1:A5,,FALSE()),1,1)</f>
        <v>1.49545454545455</v>
      </c>
      <c r="B302" s="0" t="s">
        <v>323</v>
      </c>
    </row>
    <row r="303" customFormat="false" ht="15" hidden="false" customHeight="false" outlineLevel="0" collapsed="false">
      <c r="A303" s="0" t="e">
        <f aca="false">SUM(_xlfn.sequence(4,1,2,3))</f>
        <v>#NAME?</v>
      </c>
      <c r="B303" s="0" t="s">
        <v>324</v>
      </c>
    </row>
    <row r="304" customFormat="false" ht="15" hidden="false" customHeight="false" outlineLevel="0" collapsed="false">
      <c r="A304" s="0" t="str">
        <f aca="false">TEXT(3.5,"# ?/?")</f>
        <v>3 1/2</v>
      </c>
      <c r="B304" s="0" t="s">
        <v>232</v>
      </c>
    </row>
    <row r="305" customFormat="false" ht="15" hidden="false" customHeight="false" outlineLevel="0" collapsed="false">
      <c r="A305" s="0" t="str">
        <f aca="false">TEXT(2.375,"# ?/8")</f>
        <v>2 3/8</v>
      </c>
      <c r="B305" s="0" t="s">
        <v>325</v>
      </c>
    </row>
    <row r="306" customFormat="false" ht="15" hidden="false" customHeight="false" outlineLevel="0" collapsed="false">
      <c r="A306" s="0" t="str">
        <f aca="false">TEXT(0.3333,"?/?")</f>
        <v>1/3</v>
      </c>
      <c r="B306" s="0" t="s">
        <v>326</v>
      </c>
    </row>
    <row r="307" customFormat="false" ht="15" hidden="false" customHeight="false" outlineLevel="0" collapsed="false">
      <c r="A307" s="0" t="str">
        <f aca="false">TEXT(1.75,"?/?")</f>
        <v>7/4</v>
      </c>
      <c r="B307" s="0" t="s">
        <v>327</v>
      </c>
    </row>
    <row r="308" customFormat="false" ht="15" hidden="false" customHeight="false" outlineLevel="0" collapsed="false">
      <c r="A308" s="0" t="str">
        <f aca="false">TEXT(3.14159,"# ??/??")</f>
        <v>3 14/99</v>
      </c>
      <c r="B308" s="0" t="s">
        <v>328</v>
      </c>
    </row>
    <row r="309" customFormat="false" ht="15" hidden="false" customHeight="false" outlineLevel="0" collapsed="false">
      <c r="A309" s="0" t="str">
        <f aca="false">TEXT(-2.25,"# ?/?")</f>
        <v>-2 1/4</v>
      </c>
      <c r="B309" s="0" t="s">
        <v>329</v>
      </c>
    </row>
    <row r="310" customFormat="false" ht="15" hidden="false" customHeight="false" outlineLevel="0" collapsed="false">
      <c r="A310" s="0" t="str">
        <f aca="false">TEXT(5,"# ?/?")</f>
        <v>5    </v>
      </c>
      <c r="B310" s="0" t="s">
        <v>330</v>
      </c>
    </row>
    <row r="311" customFormat="false" ht="15" hidden="false" customHeight="false" outlineLevel="0" collapsed="false">
      <c r="A311" s="0" t="n">
        <f aca="false">_xlfn.COVARIANCE.S(Data!A1:A5,Data!E1:E5)</f>
        <v>19269.3375</v>
      </c>
      <c r="B311" s="0" t="s">
        <v>306</v>
      </c>
    </row>
    <row r="312" customFormat="false" ht="15" hidden="false" customHeight="false" outlineLevel="0" collapsed="false">
      <c r="A312" s="0" t="n">
        <f aca="false">_xlfn.COVARIANCE.P(Data!A1:A5,Data!E1:E5)</f>
        <v>15415.47</v>
      </c>
      <c r="B312" s="0" t="s">
        <v>331</v>
      </c>
    </row>
    <row r="313" customFormat="false" ht="15" hidden="false" customHeight="false" outlineLevel="0" collapsed="false">
      <c r="A313" s="0" t="n">
        <f aca="false">_xlfn.FORECAST.LINEAR(2024,Data!K2:K7,Data!L2:L7)</f>
        <v>77.5</v>
      </c>
      <c r="B313" s="0" t="s">
        <v>332</v>
      </c>
    </row>
    <row r="314" customFormat="false" ht="15" hidden="false" customHeight="false" outlineLevel="0" collapsed="false">
      <c r="A314" s="0" t="e">
        <f aca="false">INDEX(LINEST(Data!A1:A5,Data!E1:G5),1,4)</f>
        <v>#VALUE!</v>
      </c>
      <c r="B314" s="0" t="s">
        <v>322</v>
      </c>
    </row>
    <row r="315" customFormat="false" ht="15" hidden="false" customHeight="false" outlineLevel="0" collapsed="false">
      <c r="A315" s="0" t="str">
        <f aca="false">TEXT(-0.004,"0.00")</f>
        <v>0.00</v>
      </c>
      <c r="B315" s="0" t="s">
        <v>234</v>
      </c>
    </row>
    <row r="316" customFormat="false" ht="15" hidden="false" customHeight="false" outlineLevel="0" collapsed="false">
      <c r="A316" s="0" t="str">
        <f aca="false">TEXT(-0.004,"0.00;-0.00")</f>
        <v>-0.00</v>
      </c>
      <c r="B316" s="0" t="s">
        <v>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2026-10-16T23:26:03Z</dcterms:created>
  <dc:creator>mathstudii</dc:creator>
  <dc:description/>
  <dc:language>en-US</dc:language>
  <cp:lastModifiedBy/>
  <dcterms:modified xsi:type="dcterms:W3CDTF">2026-10-16T23:26:03Z</dcterms:modified>
  <cp:revision>0</cp:revision>
  <dc:subject/>
  <dc:title/>
</cp:coreProperties>
</file>